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 - Financiamientos" sheetId="1" r:id="rId5"/>
    <sheet state="visible" name="Worksheet" sheetId="2" r:id="rId6"/>
    <sheet state="visible" name="Regalos" sheetId="3" r:id="rId7"/>
    <sheet state="visible" name="Comisiones" sheetId="4" r:id="rId8"/>
  </sheets>
  <definedNames/>
  <calcPr/>
</workbook>
</file>

<file path=xl/sharedStrings.xml><?xml version="1.0" encoding="utf-8"?>
<sst xmlns="http://schemas.openxmlformats.org/spreadsheetml/2006/main" count="173" uniqueCount="115">
  <si>
    <t>Regalos</t>
  </si>
  <si>
    <t>Membresía</t>
  </si>
  <si>
    <t>Closing cost</t>
  </si>
  <si>
    <t>CONCEPTO</t>
  </si>
  <si>
    <t>ESPECIFICACIONES</t>
  </si>
  <si>
    <t xml:space="preserve">Venta </t>
  </si>
  <si>
    <t xml:space="preserve">Sin Costo </t>
  </si>
  <si>
    <t xml:space="preserve">Holyday Credits </t>
  </si>
  <si>
    <t>Créditos</t>
  </si>
  <si>
    <t>Precio mínimo sin IVA</t>
  </si>
  <si>
    <t>Precio mínimo con IVA</t>
  </si>
  <si>
    <t>Es ?</t>
  </si>
  <si>
    <t>Restricciones</t>
  </si>
  <si>
    <t>M.Fee</t>
  </si>
  <si>
    <t>BRZ+</t>
  </si>
  <si>
    <t xml:space="preserve">Tabla 1 </t>
  </si>
  <si>
    <t xml:space="preserve">Prevelige Member </t>
  </si>
  <si>
    <t>El objetivo de la tabla 1, es que el usuario ponga los creditos que van a venir en la worksheet, y que al momento de poner los creditos que le va ofrecer, de los demas conceptos de manera automatica</t>
  </si>
  <si>
    <t>x</t>
  </si>
  <si>
    <t>0 - 14.999 Creditos</t>
  </si>
  <si>
    <t>SLVR</t>
  </si>
  <si>
    <r>
      <rPr>
        <rFont val="Google Sans"/>
        <color theme="1"/>
      </rPr>
      <t>45 Noches de hospedaje (</t>
    </r>
    <r>
      <rPr>
        <rFont val="Google Sans"/>
        <i/>
        <color rgb="FF999999"/>
      </rPr>
      <t>pagan su A/I</t>
    </r>
    <r>
      <rPr>
        <rFont val="Google Sans"/>
        <color theme="1"/>
      </rPr>
      <t>)</t>
    </r>
  </si>
  <si>
    <t xml:space="preserve">Se liberan acorde al pago de membresia </t>
  </si>
  <si>
    <t>Venta minima 15 HC</t>
  </si>
  <si>
    <t>SLV+</t>
  </si>
  <si>
    <t>15.000 - 24.999 Creditos</t>
  </si>
  <si>
    <t>25.000 Creditos o más</t>
  </si>
  <si>
    <t>GOLD</t>
  </si>
  <si>
    <t xml:space="preserve">Flyback </t>
  </si>
  <si>
    <t>Tabla 2</t>
  </si>
  <si>
    <t>La tabla 2 es para que venga un Scroll para poder ir abajo y ver los preios de ventas y sus respectivos otros datos.</t>
  </si>
  <si>
    <t>GOLD+</t>
  </si>
  <si>
    <t>Down Payment</t>
  </si>
  <si>
    <t xml:space="preserve">2 Certificados </t>
  </si>
  <si>
    <t>De $500 c/u = 1K</t>
  </si>
  <si>
    <r>
      <rPr>
        <rFont val="Google Sans"/>
        <color theme="1"/>
      </rPr>
      <t xml:space="preserve">Venta minima </t>
    </r>
    <r>
      <rPr>
        <rFont val="Google Sans"/>
        <b/>
        <color rgb="FF999999"/>
      </rPr>
      <t>$19,167.58</t>
    </r>
  </si>
  <si>
    <t>Tabla 3</t>
  </si>
  <si>
    <t>Liner</t>
  </si>
  <si>
    <t xml:space="preserve">En esta tabla lo que se busca es, el usuario pueda saber por medio del moento que puso en "datos financieros" para que le de acorde a ese monto el numero de creditos y membresia que alcanza con ese monto. y que tambien le arroje al usuario cuanto dinero esta por encima O POR DEBAJO al numero de creditos que se pone en TABLA 1 para que pueda saber en sus numeros. </t>
  </si>
  <si>
    <t>All inclusive</t>
  </si>
  <si>
    <t>1000 - 500</t>
  </si>
  <si>
    <t>Closer</t>
  </si>
  <si>
    <t>FTB</t>
  </si>
  <si>
    <t>PLATA</t>
  </si>
  <si>
    <t xml:space="preserve">Move In </t>
  </si>
  <si>
    <t>TABLA PARA VLO</t>
  </si>
  <si>
    <t xml:space="preserve">Esta tabala no se muestra, pero es para que tengas conocimiento de que es, y que restricciones tiene cada regalo. Para que las tengas para la pestaña VLO </t>
  </si>
  <si>
    <r>
      <rPr>
        <rFont val="Google Sans"/>
        <color theme="1"/>
      </rPr>
      <t xml:space="preserve">El monto son pesos </t>
    </r>
    <r>
      <rPr>
        <rFont val="Google Sans"/>
        <b/>
        <color theme="1"/>
      </rPr>
      <t>MX</t>
    </r>
  </si>
  <si>
    <t xml:space="preserve">Certificado de vuelo </t>
  </si>
  <si>
    <t>PLATA+</t>
  </si>
  <si>
    <t>Color verde</t>
  </si>
  <si>
    <t xml:space="preserve">Es el espacio que se debe crear un textholder para que el usuario ponga la informacion que va en ese espacio </t>
  </si>
  <si>
    <t xml:space="preserve">Certificado multidestino </t>
  </si>
  <si>
    <t xml:space="preserve">12 Meses para usarlo </t>
  </si>
  <si>
    <t>4 noches - 5 dias (2 adultos - 2 niños)</t>
  </si>
  <si>
    <r>
      <rPr>
        <rFont val="Google Sans"/>
        <b/>
        <i/>
        <color rgb="FF666666"/>
      </rPr>
      <t xml:space="preserve">ROYAL PARK
</t>
    </r>
    <r>
      <rPr>
        <rFont val="Google Sans"/>
        <color theme="1"/>
      </rPr>
      <t>Orlando. 
Miami
Buenos Aires 
Puerto Rico</t>
    </r>
  </si>
  <si>
    <r>
      <rPr>
        <rFont val="Google Sans"/>
        <b/>
        <i/>
        <color rgb="FF666666"/>
      </rPr>
      <t>REGINA</t>
    </r>
    <r>
      <rPr>
        <rFont val="Google Sans"/>
        <color theme="1"/>
      </rPr>
      <t xml:space="preserve">
Cabo
Vallarta
Cancun</t>
    </r>
  </si>
  <si>
    <t>Tours</t>
  </si>
  <si>
    <t xml:space="preserve">Color rojo </t>
  </si>
  <si>
    <t xml:space="preserve">Son espacios que el usuario no debe llenar, sino que los de automaticamamente haciendo su respectiva operacion matematica, busque da informacion u otro. </t>
  </si>
  <si>
    <t>Bono de creditos</t>
  </si>
  <si>
    <t>HC Extras, para mas vacaciones</t>
  </si>
  <si>
    <t>Socio para MFee</t>
  </si>
  <si>
    <t>Expira en 18 meses</t>
  </si>
  <si>
    <t xml:space="preserve">10K
15K
30K
---------
(x2) ... Max </t>
  </si>
  <si>
    <t>ROYAL</t>
  </si>
  <si>
    <t>Significa que asigna el usiario a donde va puede cargar ese regalo</t>
  </si>
  <si>
    <t xml:space="preserve">All inclusive </t>
  </si>
  <si>
    <t>49-199 p/p</t>
  </si>
  <si>
    <t xml:space="preserve">TABLA 1 </t>
  </si>
  <si>
    <t>TABLA 2</t>
  </si>
  <si>
    <t>TABLA 3</t>
  </si>
  <si>
    <t>Precio</t>
  </si>
  <si>
    <t xml:space="preserve">Cuota anual </t>
  </si>
  <si>
    <t xml:space="preserve">Monto </t>
  </si>
  <si>
    <t>(regresa el monto que esta en datos financieros que dice "Monto de venta")</t>
  </si>
  <si>
    <t xml:space="preserve">regrese el nombre de la membresia atomaticamante acorde al los creditos que pone arriba </t>
  </si>
  <si>
    <t>Membresia acode al monto</t>
  </si>
  <si>
    <t xml:space="preserve">Precio </t>
  </si>
  <si>
    <t xml:space="preserve">regrese el precio automaticamante acorde al los creditos que pone arriba </t>
  </si>
  <si>
    <t>Creditos acode al monto</t>
  </si>
  <si>
    <t xml:space="preserve">regrese los cuota de mantenimietno atomaticamante acorde al los creditos que pone arriba </t>
  </si>
  <si>
    <t>Fechas de pagos</t>
  </si>
  <si>
    <t>Venta</t>
  </si>
  <si>
    <t>Pago</t>
  </si>
  <si>
    <t xml:space="preserve">1 al 15 </t>
  </si>
  <si>
    <t>TABLA 4</t>
  </si>
  <si>
    <t xml:space="preserve">16 al 30 </t>
  </si>
  <si>
    <t>Cantidad</t>
  </si>
  <si>
    <t xml:space="preserve">Costo unitario </t>
  </si>
  <si>
    <t xml:space="preserve">Total </t>
  </si>
  <si>
    <t xml:space="preserve">Que este regalo </t>
  </si>
  <si>
    <r>
      <rPr>
        <rFont val="Google Sans"/>
        <color theme="1"/>
      </rPr>
      <t>45 Noches de hospedaje (</t>
    </r>
    <r>
      <rPr>
        <rFont val="Google Sans"/>
        <i/>
        <color rgb="FF999999"/>
      </rPr>
      <t>pagan su A/I</t>
    </r>
    <r>
      <rPr>
        <rFont val="Google Sans"/>
        <color theme="1"/>
      </rPr>
      <t>)</t>
    </r>
  </si>
  <si>
    <t xml:space="preserve">Se liberan acorde al porcentaje pago de membresia </t>
  </si>
  <si>
    <t>Venta minima 15,000 creditos  par apoder darse</t>
  </si>
  <si>
    <t>Venta minima $19,167.58 (GOLD)</t>
  </si>
  <si>
    <t xml:space="preserve">Es un credito que se le da el socio para el all inclusive o para el certificado de vuelos </t>
  </si>
  <si>
    <t xml:space="preserve">El monto de estos conceptos en conjunto, no debe exceder los 1,500. Se le puede dar todo a un concepto o repartirlo pero que la suma no exceda ese monto. </t>
  </si>
  <si>
    <r>
      <rPr>
        <rFont val="Google Sans"/>
        <color theme="1"/>
      </rPr>
      <t xml:space="preserve">El monto de este regalo es en pesos </t>
    </r>
    <r>
      <rPr>
        <rFont val="Google Sans"/>
        <b/>
        <color theme="1"/>
      </rPr>
      <t>MX</t>
    </r>
  </si>
  <si>
    <t>Son 4 noches - 5 dias (2 adultos - 2 niños) que el socio tiene que pagar 399usd para activarlo</t>
  </si>
  <si>
    <r>
      <rPr>
        <rFont val="Google Sans"/>
        <b/>
        <i/>
        <color rgb="FF666666"/>
      </rPr>
      <t xml:space="preserve">Puede usarlos en los hoteles
ROYAL PARK
</t>
    </r>
    <r>
      <rPr>
        <rFont val="Google Sans"/>
        <color theme="1"/>
      </rPr>
      <t>Orlando. 
Miami
Buenos Aires 
Puerto Rico</t>
    </r>
  </si>
  <si>
    <r>
      <rPr>
        <rFont val="Google Sans"/>
        <color theme="1"/>
      </rPr>
      <t xml:space="preserve">Puede usarlos en los hoteles
</t>
    </r>
    <r>
      <rPr>
        <rFont val="Google Sans"/>
        <b/>
        <color theme="1"/>
      </rPr>
      <t>REGINA</t>
    </r>
    <r>
      <rPr>
        <rFont val="Google Sans"/>
        <color theme="1"/>
      </rPr>
      <t xml:space="preserve">
Cabo
Vallarta
Cancun</t>
    </r>
  </si>
  <si>
    <t xml:space="preserve">El usuario pone en este espacio el monto </t>
  </si>
  <si>
    <t xml:space="preserve">Cutota anual del programa que se da en monto </t>
  </si>
  <si>
    <t xml:space="preserve">Creditos Extras para usos inmediato </t>
  </si>
  <si>
    <t xml:space="preserve">Socio para la cuota anual acorde al al numero de creditos que compro. </t>
  </si>
  <si>
    <t xml:space="preserve">Se le puede dar el doble de creditos que compra, siempre y cuando no exceda 60,000 creditos </t>
  </si>
  <si>
    <t xml:space="preserve">Se le dan noches todo incluido por persona y por dia </t>
  </si>
  <si>
    <t xml:space="preserve">Gastos administrativo </t>
  </si>
  <si>
    <t xml:space="preserve">La suma de los gastos administrativos que estan es la columna de "Closing cost" se pongan aqui </t>
  </si>
  <si>
    <t xml:space="preserve">Este monto debe llevarlo la pestaña de datos financieros a la parte de "gastos adminitrativos"
 </t>
  </si>
  <si>
    <t xml:space="preserve">La suma de los "venta" que estan es la columna de "Closing cost" se pongan aqui </t>
  </si>
  <si>
    <t xml:space="preserve">Este monto debe llevarlo la pestaña de datos financieros a la parte de "monto venta"
 </t>
  </si>
  <si>
    <t xml:space="preserve">TOTAL </t>
  </si>
  <si>
    <t xml:space="preserve">La suma de gastos adminustrativos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</si>
</sst>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;(#,##0)"/>
    <numFmt numFmtId="165" formatCode="&quot;$&quot;#,##0.00"/>
    <numFmt numFmtId="166" formatCode="&quot;$&quot;#,##0"/>
    <numFmt numFmtId="167" formatCode="[$$]#,##0"/>
  </numFmts>
  <fonts count="8">
    <font>
      <sz val="10.0"/>
      <color rgb="FF000000"/>
      <name val="Arial"/>
      <scheme val="minor"/>
    </font>
    <font>
      <color theme="1"/>
      <name val="Google Sans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Google Sans"/>
    </font>
    <font/>
    <font>
      <b/>
      <i/>
      <color theme="1"/>
      <name val="Google Sans"/>
    </font>
    <font>
      <i/>
      <color rgb="FF999999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54">
    <border/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double">
        <color rgb="FF666666"/>
      </left>
      <right style="thin">
        <color rgb="FFCCCCCC"/>
      </right>
      <top style="double">
        <color rgb="FF666666"/>
      </top>
      <bottom style="double">
        <color rgb="FF666666"/>
      </bottom>
    </border>
    <border>
      <left style="thin">
        <color rgb="FFCCCCCC"/>
      </left>
      <right style="thin">
        <color rgb="FFCCCCCC"/>
      </right>
      <top style="double">
        <color rgb="FF666666"/>
      </top>
      <bottom style="double">
        <color rgb="FF666666"/>
      </bottom>
    </border>
    <border>
      <left style="thin">
        <color rgb="FFCCCCCC"/>
      </left>
      <right style="double">
        <color rgb="FF666666"/>
      </right>
      <top style="double">
        <color rgb="FF666666"/>
      </top>
      <bottom style="double">
        <color rgb="FF666666"/>
      </bottom>
    </border>
    <border>
      <left style="double">
        <color rgb="FF666666"/>
      </left>
      <right style="double">
        <color rgb="FF666666"/>
      </right>
      <top style="double">
        <color rgb="FF666666"/>
      </top>
      <bottom style="thin">
        <color rgb="FFCCCCCC"/>
      </bottom>
    </border>
    <border>
      <left style="double">
        <color rgb="FF666666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double">
        <color rgb="FF666666"/>
      </right>
      <top style="thin">
        <color rgb="FFCCCCCC"/>
      </top>
      <bottom style="thin">
        <color rgb="FFCCCCCC"/>
      </bottom>
    </border>
    <border>
      <left style="double">
        <color rgb="FF666666"/>
      </left>
      <right style="double">
        <color rgb="FF666666"/>
      </right>
      <top style="thin">
        <color rgb="FFCCCCCC"/>
      </top>
      <bottom style="thin">
        <color rgb="FFCCCCCC"/>
      </bottom>
    </border>
    <border>
      <left style="double">
        <color rgb="FF666666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double">
        <color rgb="FFB7B7B7"/>
      </left>
      <top style="double">
        <color rgb="FFB7B7B7"/>
      </top>
    </border>
    <border>
      <right style="double">
        <color rgb="FFB7B7B7"/>
      </right>
      <top style="double">
        <color rgb="FFB7B7B7"/>
      </top>
    </border>
    <border>
      <top style="double">
        <color rgb="FFB7B7B7"/>
      </top>
    </border>
    <border>
      <left style="double">
        <color rgb="FFB7B7B7"/>
      </left>
    </border>
    <border>
      <right style="double">
        <color rgb="FFB7B7B7"/>
      </right>
    </border>
    <border>
      <left style="double">
        <color rgb="FF666666"/>
      </left>
      <right style="double">
        <color rgb="FF666666"/>
      </right>
      <top style="thin">
        <color rgb="FFCCCCCC"/>
      </top>
      <bottom style="double">
        <color rgb="FF666666"/>
      </bottom>
    </border>
    <border>
      <left style="double">
        <color rgb="FF666666"/>
      </left>
      <right style="thin">
        <color rgb="FFCCCCCC"/>
      </right>
      <top style="thin">
        <color rgb="FFCCCCCC"/>
      </top>
      <bottom style="double">
        <color rgb="FF666666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double">
        <color rgb="FF666666"/>
      </bottom>
    </border>
    <border>
      <left style="thin">
        <color rgb="FFCCCCCC"/>
      </left>
      <right style="double">
        <color rgb="FF666666"/>
      </right>
      <top style="thin">
        <color rgb="FFCCCCCC"/>
      </top>
      <bottom style="double">
        <color rgb="FF666666"/>
      </bottom>
    </border>
    <border>
      <left style="double">
        <color rgb="FFB7B7B7"/>
      </left>
      <bottom style="double">
        <color rgb="FFB7B7B7"/>
      </bottom>
    </border>
    <border>
      <right style="double">
        <color rgb="FFB7B7B7"/>
      </right>
      <bottom style="double">
        <color rgb="FFB7B7B7"/>
      </bottom>
    </border>
    <border>
      <bottom style="double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double">
        <color rgb="FFB7B7B7"/>
      </left>
      <right style="double">
        <color rgb="FFB7B7B7"/>
      </right>
      <top style="double">
        <color rgb="FFB7B7B7"/>
      </top>
      <bottom style="thin">
        <color rgb="FFB7B7B7"/>
      </bottom>
    </border>
    <border>
      <left style="double">
        <color rgb="FFB7B7B7"/>
      </left>
      <right style="thin">
        <color rgb="FFB7B7B7"/>
      </right>
      <top style="double">
        <color rgb="FFB7B7B7"/>
      </top>
      <bottom style="thin">
        <color rgb="FFB7B7B7"/>
      </bottom>
    </border>
    <border>
      <left style="thin">
        <color rgb="FFB7B7B7"/>
      </left>
      <top style="double">
        <color rgb="FFB7B7B7"/>
      </top>
      <bottom style="thin">
        <color rgb="FFB7B7B7"/>
      </bottom>
    </border>
    <border>
      <right style="double">
        <color rgb="FFB7B7B7"/>
      </right>
      <top style="double">
        <color rgb="FFB7B7B7"/>
      </top>
      <bottom style="thin">
        <color rgb="FFB7B7B7"/>
      </bottom>
    </border>
    <border>
      <left style="double">
        <color rgb="FFB7B7B7"/>
      </left>
      <right style="double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double">
        <color rgb="FFB7B7B7"/>
      </right>
      <top style="thin">
        <color rgb="FFB7B7B7"/>
      </top>
      <bottom style="thin">
        <color rgb="FFB7B7B7"/>
      </bottom>
    </border>
    <border>
      <left style="double">
        <color rgb="FFB7B7B7"/>
      </left>
      <right style="double">
        <color rgb="FFB7B7B7"/>
      </right>
      <top style="thin">
        <color rgb="FFB7B7B7"/>
      </top>
    </border>
    <border>
      <left style="double">
        <color rgb="FFB7B7B7"/>
      </left>
      <top style="thin">
        <color rgb="FFB7B7B7"/>
      </top>
    </border>
    <border>
      <right style="double">
        <color rgb="FFB7B7B7"/>
      </right>
      <top style="thin">
        <color rgb="FFB7B7B7"/>
      </top>
    </border>
    <border>
      <left style="double">
        <color rgb="FFB7B7B7"/>
      </left>
      <right style="double">
        <color rgb="FFB7B7B7"/>
      </right>
      <bottom style="thin">
        <color rgb="FFB7B7B7"/>
      </bottom>
    </border>
    <border>
      <left style="double">
        <color rgb="FFB7B7B7"/>
      </left>
      <bottom style="thin">
        <color rgb="FFB7B7B7"/>
      </bottom>
    </border>
    <border>
      <bottom style="thin">
        <color rgb="FFB7B7B7"/>
      </bottom>
    </border>
    <border>
      <right style="double">
        <color rgb="FFB7B7B7"/>
      </right>
      <bottom style="thin">
        <color rgb="FFB7B7B7"/>
      </bottom>
    </border>
    <border>
      <left style="double">
        <color rgb="FFB7B7B7"/>
      </left>
      <top style="thin">
        <color rgb="FFB7B7B7"/>
      </top>
      <bottom style="thin">
        <color rgb="FFB7B7B7"/>
      </bottom>
    </border>
    <border>
      <left style="double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double">
        <color rgb="FFB7B7B7"/>
      </right>
      <top style="thin">
        <color rgb="FFB7B7B7"/>
      </top>
      <bottom style="thin">
        <color rgb="FFB7B7B7"/>
      </bottom>
    </border>
    <border>
      <left style="double">
        <color rgb="FFB7B7B7"/>
      </left>
      <right style="double">
        <color rgb="FFB7B7B7"/>
      </right>
      <top style="thin">
        <color rgb="FFB7B7B7"/>
      </top>
      <bottom style="double">
        <color rgb="FFB7B7B7"/>
      </bottom>
    </border>
    <border>
      <left style="double">
        <color rgb="FFB7B7B7"/>
      </left>
      <right style="thin">
        <color rgb="FFB7B7B7"/>
      </right>
      <top style="thin">
        <color rgb="FFB7B7B7"/>
      </top>
      <bottom style="double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double">
        <color rgb="FFB7B7B7"/>
      </bottom>
    </border>
    <border>
      <left style="thin">
        <color rgb="FFB7B7B7"/>
      </left>
      <right style="double">
        <color rgb="FFB7B7B7"/>
      </right>
      <top style="thin">
        <color rgb="FFB7B7B7"/>
      </top>
      <bottom style="double">
        <color rgb="FFB7B7B7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vertical="center"/>
    </xf>
    <xf borderId="1" fillId="2" fontId="4" numFmtId="0" xfId="0" applyAlignment="1" applyBorder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2" fontId="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3" fillId="0" fontId="5" numFmtId="0" xfId="0" applyBorder="1" applyFont="1"/>
    <xf borderId="0" fillId="0" fontId="3" numFmtId="0" xfId="0" applyAlignment="1" applyFont="1">
      <alignment horizontal="center" readingOrder="0" vertical="center"/>
    </xf>
    <xf borderId="4" fillId="0" fontId="5" numFmtId="0" xfId="0" applyBorder="1" applyFont="1"/>
    <xf borderId="0" fillId="0" fontId="1" numFmtId="164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vertical="center"/>
    </xf>
    <xf borderId="5" fillId="0" fontId="1" numFmtId="167" xfId="0" applyAlignment="1" applyBorder="1" applyFont="1" applyNumberForma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vertical="center"/>
    </xf>
    <xf borderId="6" fillId="0" fontId="6" numFmtId="0" xfId="0" applyAlignment="1" applyBorder="1" applyFont="1">
      <alignment horizontal="center" readingOrder="0" shrinkToFit="0" vertical="center" wrapText="1"/>
    </xf>
    <xf borderId="0" fillId="4" fontId="1" numFmtId="164" xfId="0" applyAlignment="1" applyFont="1" applyNumberFormat="1">
      <alignment horizontal="center" readingOrder="0" vertical="center"/>
    </xf>
    <xf borderId="6" fillId="2" fontId="6" numFmtId="0" xfId="0" applyAlignment="1" applyBorder="1" applyFont="1">
      <alignment horizontal="center" readingOrder="0" shrinkToFit="0" vertical="center" wrapText="1"/>
    </xf>
    <xf borderId="0" fillId="4" fontId="1" numFmtId="165" xfId="0" applyAlignment="1" applyFont="1" applyNumberFormat="1">
      <alignment horizontal="center" readingOrder="0" vertical="center"/>
    </xf>
    <xf borderId="7" fillId="4" fontId="6" numFmtId="0" xfId="0" applyAlignment="1" applyBorder="1" applyFont="1">
      <alignment horizontal="center" readingOrder="0" shrinkToFit="0" vertical="center" wrapText="1"/>
    </xf>
    <xf borderId="0" fillId="4" fontId="1" numFmtId="166" xfId="0" applyAlignment="1" applyFont="1" applyNumberFormat="1">
      <alignment horizontal="center" readingOrder="0" vertical="center"/>
    </xf>
    <xf borderId="8" fillId="5" fontId="6" numFmtId="0" xfId="0" applyAlignment="1" applyBorder="1" applyFill="1" applyFont="1">
      <alignment horizontal="center" readingOrder="0" shrinkToFit="0" vertical="center" wrapText="1"/>
    </xf>
    <xf borderId="6" fillId="6" fontId="6" numFmtId="0" xfId="0" applyAlignment="1" applyBorder="1" applyFill="1" applyFont="1">
      <alignment horizontal="center" readingOrder="0" shrinkToFit="0" vertical="center" wrapText="1"/>
    </xf>
    <xf borderId="9" fillId="0" fontId="1" numFmtId="9" xfId="0" applyAlignment="1" applyBorder="1" applyFont="1" applyNumberFormat="1">
      <alignment horizontal="center" readingOrder="0" shrinkToFit="0" vertical="center" wrapText="1"/>
    </xf>
    <xf borderId="5" fillId="3" fontId="3" numFmtId="0" xfId="0" applyAlignment="1" applyBorder="1" applyFont="1">
      <alignment horizontal="center" readingOrder="0" shrinkToFit="0" vertical="center" wrapText="1"/>
    </xf>
    <xf borderId="10" fillId="2" fontId="1" numFmtId="9" xfId="0" applyAlignment="1" applyBorder="1" applyFont="1" applyNumberFormat="1">
      <alignment horizontal="center" readingOrder="0" shrinkToFit="0" vertical="center" wrapText="1"/>
    </xf>
    <xf borderId="11" fillId="4" fontId="1" numFmtId="10" xfId="0" applyAlignment="1" applyBorder="1" applyFont="1" applyNumberForma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vertical="center"/>
    </xf>
    <xf borderId="0" fillId="7" fontId="1" numFmtId="164" xfId="0" applyAlignment="1" applyFont="1" applyNumberFormat="1">
      <alignment horizontal="center" readingOrder="0" vertical="center"/>
    </xf>
    <xf borderId="5" fillId="8" fontId="1" numFmtId="166" xfId="0" applyAlignment="1" applyBorder="1" applyFill="1" applyFont="1" applyNumberFormat="1">
      <alignment horizontal="center" readingOrder="0" shrinkToFit="0" vertical="center" wrapText="1"/>
    </xf>
    <xf borderId="0" fillId="7" fontId="1" numFmtId="165" xfId="0" applyAlignment="1" applyFont="1" applyNumberFormat="1">
      <alignment horizontal="center" readingOrder="0" vertical="center"/>
    </xf>
    <xf borderId="0" fillId="7" fontId="1" numFmtId="166" xfId="0" applyAlignment="1" applyFont="1" applyNumberForma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12" fillId="8" fontId="1" numFmtId="10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vertical="center"/>
    </xf>
    <xf borderId="0" fillId="0" fontId="1" numFmtId="10" xfId="0" applyAlignment="1" applyFont="1" applyNumberFormat="1">
      <alignment horizontal="center" shrinkToFit="0" vertical="center" wrapText="1"/>
    </xf>
    <xf borderId="0" fillId="3" fontId="1" numFmtId="164" xfId="0" applyAlignment="1" applyFont="1" applyNumberFormat="1">
      <alignment horizontal="center" readingOrder="0" vertical="center"/>
    </xf>
    <xf borderId="0" fillId="3" fontId="1" numFmtId="165" xfId="0" applyAlignment="1" applyFont="1" applyNumberFormat="1">
      <alignment horizontal="center" readingOrder="0" vertical="center"/>
    </xf>
    <xf borderId="0" fillId="3" fontId="1" numFmtId="166" xfId="0" applyAlignment="1" applyFont="1" applyNumberFormat="1">
      <alignment horizontal="center" readingOrder="0" vertical="center"/>
    </xf>
    <xf borderId="13" fillId="0" fontId="1" numFmtId="9" xfId="0" applyAlignment="1" applyBorder="1" applyFont="1" applyNumberFormat="1">
      <alignment horizontal="center" readingOrder="0" shrinkToFit="0" vertical="center" wrapText="1"/>
    </xf>
    <xf borderId="14" fillId="2" fontId="1" numFmtId="9" xfId="0" applyAlignment="1" applyBorder="1" applyFont="1" applyNumberFormat="1">
      <alignment horizontal="center" readingOrder="0" shrinkToFit="0" vertical="center" wrapText="1"/>
    </xf>
    <xf borderId="15" fillId="4" fontId="1" numFmtId="10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16" fillId="2" fontId="4" numFmtId="0" xfId="0" applyAlignment="1" applyBorder="1" applyFont="1">
      <alignment horizontal="center" readingOrder="0" vertical="center"/>
    </xf>
    <xf borderId="17" fillId="3" fontId="3" numFmtId="0" xfId="0" applyAlignment="1" applyBorder="1" applyFont="1">
      <alignment horizontal="center" vertical="center"/>
    </xf>
    <xf borderId="18" fillId="2" fontId="4" numFmtId="0" xfId="0" applyAlignment="1" applyBorder="1" applyFont="1">
      <alignment horizontal="center" readingOrder="0" vertical="center"/>
    </xf>
    <xf borderId="18" fillId="2" fontId="4" numFmtId="0" xfId="0" applyAlignment="1" applyBorder="1" applyFont="1">
      <alignment horizontal="center" readingOrder="0" shrinkToFit="0" vertical="center" wrapText="1"/>
    </xf>
    <xf borderId="17" fillId="2" fontId="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16" fillId="0" fontId="3" numFmtId="0" xfId="0" applyAlignment="1" applyBorder="1" applyFont="1">
      <alignment horizontal="center" readingOrder="0" vertical="center"/>
    </xf>
    <xf borderId="17" fillId="0" fontId="7" numFmtId="0" xfId="0" applyAlignment="1" applyBorder="1" applyFont="1">
      <alignment horizontal="left" readingOrder="0" shrinkToFit="0" vertical="center" wrapText="1"/>
    </xf>
    <xf borderId="19" fillId="2" fontId="4" numFmtId="0" xfId="0" applyAlignment="1" applyBorder="1" applyFont="1">
      <alignment horizontal="center" readingOrder="0" vertical="center"/>
    </xf>
    <xf borderId="20" fillId="8" fontId="7" numFmtId="0" xfId="0" applyAlignment="1" applyBorder="1" applyFont="1">
      <alignment horizontal="center" readingOrder="0" shrinkToFit="0" vertical="center" wrapText="1"/>
    </xf>
    <xf borderId="19" fillId="8" fontId="1" numFmtId="0" xfId="0" applyAlignment="1" applyBorder="1" applyFont="1">
      <alignment horizontal="center" readingOrder="0" vertical="center"/>
    </xf>
    <xf borderId="0" fillId="8" fontId="1" numFmtId="164" xfId="0" applyAlignment="1" applyFont="1" applyNumberFormat="1">
      <alignment horizontal="center" readingOrder="0" vertical="center"/>
    </xf>
    <xf borderId="0" fillId="8" fontId="1" numFmtId="165" xfId="0" applyAlignment="1" applyFont="1" applyNumberFormat="1">
      <alignment horizontal="center" readingOrder="0" vertical="center"/>
    </xf>
    <xf borderId="20" fillId="8" fontId="1" numFmtId="166" xfId="0" applyAlignment="1" applyBorder="1" applyFont="1" applyNumberFormat="1">
      <alignment horizontal="center" readingOrder="0" vertical="center"/>
    </xf>
    <xf borderId="21" fillId="0" fontId="1" numFmtId="9" xfId="0" applyAlignment="1" applyBorder="1" applyFont="1" applyNumberFormat="1">
      <alignment horizontal="center" readingOrder="0" shrinkToFit="0" vertical="center" wrapText="1"/>
    </xf>
    <xf borderId="19" fillId="0" fontId="3" numFmtId="0" xfId="0" applyAlignment="1" applyBorder="1" applyFont="1">
      <alignment horizontal="left" readingOrder="0" shrinkToFit="0" vertical="center" wrapText="1"/>
    </xf>
    <xf borderId="22" fillId="2" fontId="1" numFmtId="9" xfId="0" applyAlignment="1" applyBorder="1" applyFont="1" applyNumberFormat="1">
      <alignment horizontal="center" readingOrder="0" shrinkToFit="0" vertical="center" wrapText="1"/>
    </xf>
    <xf borderId="20" fillId="8" fontId="3" numFmtId="0" xfId="0" applyAlignment="1" applyBorder="1" applyFont="1">
      <alignment horizontal="center" vertical="center"/>
    </xf>
    <xf borderId="23" fillId="4" fontId="1" numFmtId="9" xfId="0" applyAlignment="1" applyBorder="1" applyFont="1" applyNumberFormat="1">
      <alignment horizontal="center" readingOrder="0" shrinkToFit="0" vertical="center" wrapText="1"/>
    </xf>
    <xf borderId="24" fillId="8" fontId="1" numFmtId="9" xfId="0" applyAlignment="1" applyBorder="1" applyFont="1" applyNumberFormat="1">
      <alignment horizontal="center" readingOrder="0" shrinkToFit="0" vertical="center" wrapText="1"/>
    </xf>
    <xf borderId="19" fillId="0" fontId="3" numFmtId="0" xfId="0" applyAlignment="1" applyBorder="1" applyFont="1">
      <alignment horizontal="left" readingOrder="0" vertical="center"/>
    </xf>
    <xf borderId="20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center" vertical="center"/>
    </xf>
    <xf borderId="25" fillId="8" fontId="1" numFmtId="0" xfId="0" applyAlignment="1" applyBorder="1" applyFont="1">
      <alignment horizontal="center" readingOrder="0" vertical="center"/>
    </xf>
    <xf borderId="27" fillId="8" fontId="1" numFmtId="164" xfId="0" applyAlignment="1" applyBorder="1" applyFont="1" applyNumberFormat="1">
      <alignment horizontal="center" readingOrder="0" vertical="center"/>
    </xf>
    <xf borderId="27" fillId="8" fontId="1" numFmtId="165" xfId="0" applyAlignment="1" applyBorder="1" applyFont="1" applyNumberFormat="1">
      <alignment horizontal="center" readingOrder="0" vertical="center"/>
    </xf>
    <xf borderId="26" fillId="8" fontId="1" numFmtId="166" xfId="0" applyAlignment="1" applyBorder="1" applyFont="1" applyNumberFormat="1">
      <alignment horizontal="center" readingOrder="0" vertical="center"/>
    </xf>
    <xf borderId="5" fillId="3" fontId="4" numFmtId="0" xfId="0" applyAlignment="1" applyBorder="1" applyFont="1">
      <alignment horizontal="center" readingOrder="0" shrinkToFit="0" vertical="center" wrapText="1"/>
    </xf>
    <xf borderId="0" fillId="0" fontId="1" numFmtId="9" xfId="0" applyAlignment="1" applyFont="1" applyNumberFormat="1">
      <alignment horizontal="center" readingOrder="0" shrinkToFit="0" vertical="center" wrapText="1"/>
    </xf>
    <xf borderId="28" fillId="2" fontId="4" numFmtId="0" xfId="0" applyAlignment="1" applyBorder="1" applyFont="1">
      <alignment horizontal="center" readingOrder="0" vertical="center"/>
    </xf>
    <xf borderId="29" fillId="2" fontId="4" numFmtId="0" xfId="0" applyAlignment="1" applyBorder="1" applyFont="1">
      <alignment horizontal="center" readingOrder="0" vertical="center"/>
    </xf>
    <xf borderId="30" fillId="0" fontId="5" numFmtId="0" xfId="0" applyBorder="1" applyFont="1"/>
    <xf borderId="31" fillId="0" fontId="5" numFmtId="0" xfId="0" applyBorder="1" applyFont="1"/>
    <xf borderId="5" fillId="3" fontId="3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readingOrder="0"/>
    </xf>
    <xf borderId="5" fillId="8" fontId="1" numFmtId="166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readingOrder="0" shrinkToFit="0" vertical="center" wrapText="1"/>
    </xf>
    <xf borderId="33" fillId="0" fontId="1" numFmtId="0" xfId="0" applyAlignment="1" applyBorder="1" applyFont="1">
      <alignment horizontal="center" readingOrder="0" shrinkToFit="0" vertical="center" wrapText="1"/>
    </xf>
    <xf borderId="34" fillId="0" fontId="1" numFmtId="0" xfId="0" applyAlignment="1" applyBorder="1" applyFont="1">
      <alignment horizontal="center" readingOrder="0" shrinkToFit="0" vertical="center" wrapText="1"/>
    </xf>
    <xf borderId="35" fillId="0" fontId="5" numFmtId="0" xfId="0" applyBorder="1" applyFont="1"/>
    <xf borderId="5" fillId="3" fontId="3" numFmtId="0" xfId="0" applyAlignment="1" applyBorder="1" applyFont="1">
      <alignment horizontal="center" readingOrder="0" vertical="center"/>
    </xf>
    <xf borderId="36" fillId="0" fontId="1" numFmtId="0" xfId="0" applyAlignment="1" applyBorder="1" applyFont="1">
      <alignment horizontal="center" readingOrder="0" shrinkToFit="0" vertical="center" wrapText="1"/>
    </xf>
    <xf borderId="37" fillId="0" fontId="1" numFmtId="0" xfId="0" applyAlignment="1" applyBorder="1" applyFont="1">
      <alignment horizontal="center" readingOrder="0" shrinkToFit="0" vertical="center" wrapText="1"/>
    </xf>
    <xf borderId="0" fillId="9" fontId="1" numFmtId="164" xfId="0" applyAlignment="1" applyFill="1" applyFont="1" applyNumberFormat="1">
      <alignment horizontal="center" readingOrder="0"/>
    </xf>
    <xf borderId="38" fillId="0" fontId="5" numFmtId="0" xfId="0" applyBorder="1" applyFont="1"/>
    <xf borderId="39" fillId="0" fontId="5" numFmtId="0" xfId="0" applyBorder="1" applyFont="1"/>
    <xf borderId="5" fillId="3" fontId="1" numFmtId="166" xfId="0" applyAlignment="1" applyBorder="1" applyFont="1" applyNumberFormat="1">
      <alignment horizontal="center" readingOrder="0" vertical="center"/>
    </xf>
    <xf borderId="40" fillId="0" fontId="1" numFmtId="0" xfId="0" applyAlignment="1" applyBorder="1" applyFont="1">
      <alignment horizontal="center" readingOrder="0" shrinkToFit="0" vertical="center" wrapText="1"/>
    </xf>
    <xf borderId="41" fillId="0" fontId="1" numFmtId="0" xfId="0" applyAlignment="1" applyBorder="1" applyFont="1">
      <alignment horizontal="center" readingOrder="0" shrinkToFit="0" vertical="center" wrapText="1"/>
    </xf>
    <xf borderId="42" fillId="0" fontId="5" numFmtId="0" xfId="0" applyBorder="1" applyFont="1"/>
    <xf borderId="43" fillId="0" fontId="5" numFmtId="0" xfId="0" applyBorder="1" applyFont="1"/>
    <xf borderId="44" fillId="0" fontId="5" numFmtId="0" xfId="0" applyBorder="1" applyFont="1"/>
    <xf borderId="45" fillId="0" fontId="5" numFmtId="0" xfId="0" applyBorder="1" applyFont="1"/>
    <xf borderId="46" fillId="0" fontId="5" numFmtId="0" xfId="0" applyBorder="1" applyFont="1"/>
    <xf borderId="0" fillId="10" fontId="1" numFmtId="164" xfId="0" applyAlignment="1" applyFill="1" applyFont="1" applyNumberFormat="1">
      <alignment horizontal="center" readingOrder="0"/>
    </xf>
    <xf borderId="47" fillId="0" fontId="1" numFmtId="0" xfId="0" applyAlignment="1" applyBorder="1" applyFont="1">
      <alignment horizontal="center" readingOrder="0" shrinkToFit="0" vertical="center" wrapText="1"/>
    </xf>
    <xf borderId="48" fillId="0" fontId="1" numFmtId="0" xfId="0" applyAlignment="1" applyBorder="1" applyFont="1">
      <alignment horizontal="center" readingOrder="0" shrinkToFit="0" vertical="center" wrapText="1"/>
    </xf>
    <xf borderId="49" fillId="0" fontId="1" numFmtId="0" xfId="0" applyAlignment="1" applyBorder="1" applyFont="1">
      <alignment horizontal="center" readingOrder="0" shrinkToFit="0" vertical="center" wrapText="1"/>
    </xf>
    <xf borderId="49" fillId="0" fontId="1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center" readingOrder="0" shrinkToFit="0" vertical="center" wrapText="1"/>
    </xf>
    <xf borderId="50" fillId="0" fontId="1" numFmtId="0" xfId="0" applyAlignment="1" applyBorder="1" applyFont="1">
      <alignment horizontal="center" readingOrder="0" shrinkToFit="0" vertical="center" wrapText="1"/>
    </xf>
    <xf borderId="51" fillId="0" fontId="1" numFmtId="0" xfId="0" applyAlignment="1" applyBorder="1" applyFont="1">
      <alignment horizontal="center" vertical="center"/>
    </xf>
    <xf borderId="52" fillId="0" fontId="3" numFmtId="0" xfId="0" applyAlignment="1" applyBorder="1" applyFont="1">
      <alignment horizontal="center" vertical="center"/>
    </xf>
    <xf borderId="53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right" readingOrder="0" vertical="center"/>
    </xf>
    <xf borderId="0" fillId="0" fontId="3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9.88"/>
    <col customWidth="1" min="2" max="2" width="7.88"/>
    <col customWidth="1" min="3" max="3" width="17.38" outlineLevel="1"/>
    <col customWidth="1" min="4" max="4" width="13.25"/>
    <col customWidth="1" min="5" max="5" width="7.63"/>
    <col customWidth="1" min="8" max="8" width="30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A5" s="6" t="s">
        <v>1</v>
      </c>
      <c r="B5" s="6" t="s">
        <v>8</v>
      </c>
      <c r="C5" s="6" t="s">
        <v>9</v>
      </c>
      <c r="D5" s="8" t="s">
        <v>10</v>
      </c>
      <c r="E5" s="6" t="s">
        <v>13</v>
      </c>
      <c r="F5" s="1"/>
      <c r="G5" s="1"/>
      <c r="H5" s="1"/>
      <c r="I5" s="1"/>
      <c r="J5" s="1"/>
      <c r="K5" s="1"/>
    </row>
    <row r="6">
      <c r="A6" s="11" t="s">
        <v>14</v>
      </c>
      <c r="B6" s="15">
        <v>10000.0</v>
      </c>
      <c r="C6" s="16">
        <v>9208.2</v>
      </c>
      <c r="D6" s="16">
        <v>10681.51</v>
      </c>
      <c r="E6" s="19">
        <v>700.0</v>
      </c>
      <c r="F6" s="1"/>
      <c r="G6" s="1"/>
      <c r="H6" s="1"/>
      <c r="I6" s="1"/>
      <c r="J6" s="1"/>
      <c r="K6" s="1"/>
    </row>
    <row r="7">
      <c r="A7" s="11" t="s">
        <v>20</v>
      </c>
      <c r="B7" s="15">
        <v>15000.0</v>
      </c>
      <c r="C7" s="16">
        <v>12301.2</v>
      </c>
      <c r="D7" s="16">
        <v>14269.39</v>
      </c>
      <c r="E7" s="19">
        <v>805.0</v>
      </c>
      <c r="F7" s="1"/>
      <c r="G7" s="1"/>
      <c r="H7" s="1"/>
      <c r="I7" s="1"/>
      <c r="J7" s="1"/>
      <c r="K7" s="1"/>
    </row>
    <row r="8">
      <c r="A8" s="11" t="s">
        <v>24</v>
      </c>
      <c r="B8" s="15">
        <v>20000.0</v>
      </c>
      <c r="C8" s="16">
        <v>14337.6</v>
      </c>
      <c r="D8" s="16">
        <v>16631.62</v>
      </c>
      <c r="E8" s="19">
        <v>945.0</v>
      </c>
      <c r="F8" s="1"/>
      <c r="G8" s="1"/>
      <c r="H8" s="1"/>
      <c r="I8" s="1"/>
      <c r="J8" s="1"/>
      <c r="K8" s="1"/>
    </row>
    <row r="9">
      <c r="A9" s="11" t="s">
        <v>27</v>
      </c>
      <c r="B9" s="15">
        <v>25000.0</v>
      </c>
      <c r="C9" s="16">
        <v>16523.78</v>
      </c>
      <c r="D9" s="16">
        <v>19167.58</v>
      </c>
      <c r="E9" s="19">
        <v>1040.0</v>
      </c>
      <c r="F9" s="1"/>
      <c r="G9" s="1"/>
      <c r="H9" s="1"/>
      <c r="I9" s="1"/>
      <c r="J9" s="1"/>
      <c r="K9" s="1"/>
    </row>
    <row r="10">
      <c r="A10" s="24" t="s">
        <v>31</v>
      </c>
      <c r="B10" s="26">
        <v>30000.0</v>
      </c>
      <c r="C10" s="28">
        <v>18899.1</v>
      </c>
      <c r="D10" s="28">
        <v>21922.96</v>
      </c>
      <c r="E10" s="30">
        <v>1170.0</v>
      </c>
      <c r="F10" s="1"/>
      <c r="G10" s="1"/>
      <c r="H10" s="1"/>
      <c r="I10" s="1"/>
      <c r="J10" s="1"/>
      <c r="K10" s="1"/>
    </row>
    <row r="11">
      <c r="A11" s="11" t="s">
        <v>43</v>
      </c>
      <c r="B11" s="15">
        <v>35000.0</v>
      </c>
      <c r="C11" s="16">
        <v>20676.43</v>
      </c>
      <c r="D11" s="16">
        <v>23984.66</v>
      </c>
      <c r="E11" s="19">
        <v>1495.0</v>
      </c>
      <c r="F11" s="1"/>
      <c r="G11" s="1"/>
      <c r="H11" s="1"/>
      <c r="I11" s="1"/>
      <c r="J11" s="1"/>
      <c r="K11" s="1"/>
    </row>
    <row r="12">
      <c r="A12" s="11" t="s">
        <v>43</v>
      </c>
      <c r="B12" s="15">
        <v>40000.0</v>
      </c>
      <c r="C12" s="16">
        <v>23630.2</v>
      </c>
      <c r="D12" s="16">
        <v>27411.03</v>
      </c>
      <c r="E12" s="19">
        <v>1630.0</v>
      </c>
      <c r="F12" s="1"/>
      <c r="G12" s="1"/>
      <c r="H12" s="1"/>
      <c r="I12" s="1"/>
      <c r="J12" s="1"/>
      <c r="K12" s="1"/>
    </row>
    <row r="13">
      <c r="A13" s="11" t="s">
        <v>49</v>
      </c>
      <c r="B13" s="15">
        <v>45000.0</v>
      </c>
      <c r="C13" s="16">
        <v>26583.98</v>
      </c>
      <c r="D13" s="16">
        <v>30837.42</v>
      </c>
      <c r="E13" s="19">
        <v>1775.0</v>
      </c>
      <c r="F13" s="1"/>
      <c r="G13" s="1"/>
      <c r="H13" s="1"/>
      <c r="I13" s="1"/>
      <c r="J13" s="1"/>
      <c r="K13" s="1"/>
    </row>
    <row r="14">
      <c r="A14" s="11" t="s">
        <v>49</v>
      </c>
      <c r="B14" s="15">
        <v>50000.0</v>
      </c>
      <c r="C14" s="16">
        <v>25622.0</v>
      </c>
      <c r="D14" s="16">
        <v>29721.52</v>
      </c>
      <c r="E14" s="19">
        <v>1775.0</v>
      </c>
      <c r="F14" s="1"/>
      <c r="G14" s="1"/>
      <c r="H14" s="1"/>
      <c r="I14" s="1"/>
      <c r="J14" s="1"/>
      <c r="K14" s="1"/>
    </row>
    <row r="15">
      <c r="A15" s="11" t="s">
        <v>49</v>
      </c>
      <c r="B15" s="15">
        <v>55000.0</v>
      </c>
      <c r="C15" s="16">
        <v>28184.2</v>
      </c>
      <c r="D15" s="16">
        <v>32693.67</v>
      </c>
      <c r="E15" s="19">
        <v>1860.0</v>
      </c>
      <c r="F15" s="1"/>
      <c r="G15" s="1"/>
      <c r="H15" s="1"/>
      <c r="I15" s="1"/>
      <c r="J15" s="1"/>
      <c r="K15" s="1"/>
    </row>
    <row r="16">
      <c r="A16" s="37" t="s">
        <v>49</v>
      </c>
      <c r="B16" s="38">
        <v>60000.0</v>
      </c>
      <c r="C16" s="40">
        <v>30746.4</v>
      </c>
      <c r="D16" s="40">
        <v>35665.82</v>
      </c>
      <c r="E16" s="41">
        <v>1860.0</v>
      </c>
      <c r="F16" s="1"/>
      <c r="G16" s="1"/>
      <c r="H16" s="1"/>
      <c r="I16" s="1"/>
      <c r="J16" s="1"/>
      <c r="K16" s="1"/>
    </row>
    <row r="17">
      <c r="A17" s="11" t="s">
        <v>65</v>
      </c>
      <c r="B17" s="15">
        <v>65000.0</v>
      </c>
      <c r="C17" s="16">
        <v>33308.6</v>
      </c>
      <c r="D17" s="16">
        <v>38637.98</v>
      </c>
      <c r="E17" s="19">
        <v>2060.0</v>
      </c>
      <c r="F17" s="1"/>
      <c r="G17" s="1"/>
      <c r="H17" s="1"/>
      <c r="I17" s="1"/>
      <c r="J17" s="1"/>
      <c r="K17" s="1"/>
    </row>
    <row r="18">
      <c r="A18" s="11" t="s">
        <v>65</v>
      </c>
      <c r="B18" s="15">
        <v>70000.0</v>
      </c>
      <c r="C18" s="16">
        <v>31032.75</v>
      </c>
      <c r="D18" s="16">
        <v>35997.99</v>
      </c>
      <c r="E18" s="19">
        <v>2060.0</v>
      </c>
      <c r="F18" s="1"/>
      <c r="G18" s="1"/>
      <c r="H18" s="1"/>
      <c r="I18" s="1"/>
      <c r="J18" s="1"/>
      <c r="K18" s="1"/>
    </row>
    <row r="19">
      <c r="A19" s="11" t="s">
        <v>65</v>
      </c>
      <c r="B19" s="15">
        <v>75000.0</v>
      </c>
      <c r="C19" s="16">
        <v>33249.38</v>
      </c>
      <c r="D19" s="16">
        <v>38569.28</v>
      </c>
      <c r="E19" s="19">
        <v>2295.0</v>
      </c>
      <c r="F19" s="1"/>
      <c r="G19" s="1"/>
      <c r="H19" s="1"/>
      <c r="I19" s="1"/>
      <c r="J19" s="1"/>
      <c r="K19" s="1"/>
    </row>
    <row r="20">
      <c r="A20" s="11" t="s">
        <v>65</v>
      </c>
      <c r="B20" s="15">
        <v>80000.0</v>
      </c>
      <c r="C20" s="16">
        <v>35466.0</v>
      </c>
      <c r="D20" s="16">
        <v>41140.56</v>
      </c>
      <c r="E20" s="19">
        <v>2295.0</v>
      </c>
      <c r="F20" s="1"/>
      <c r="G20" s="1"/>
      <c r="H20" s="1"/>
      <c r="I20" s="1"/>
      <c r="J20" s="1"/>
      <c r="K20" s="1"/>
    </row>
    <row r="21">
      <c r="A21" s="11" t="s">
        <v>65</v>
      </c>
      <c r="B21" s="15">
        <v>85000.0</v>
      </c>
      <c r="C21" s="16">
        <v>37682.63</v>
      </c>
      <c r="D21" s="16">
        <v>43711.85</v>
      </c>
      <c r="E21" s="19">
        <v>2515.0</v>
      </c>
      <c r="F21" s="1"/>
      <c r="G21" s="1"/>
      <c r="H21" s="1"/>
      <c r="I21" s="1"/>
      <c r="J21" s="1"/>
      <c r="K21" s="1"/>
    </row>
    <row r="22">
      <c r="A22" s="45" t="s">
        <v>65</v>
      </c>
      <c r="B22" s="47">
        <v>90000.0</v>
      </c>
      <c r="C22" s="48">
        <v>39899.25</v>
      </c>
      <c r="D22" s="48">
        <v>46283.13</v>
      </c>
      <c r="E22" s="49">
        <v>2515.0</v>
      </c>
      <c r="F22" s="1"/>
      <c r="G22" s="1"/>
      <c r="H22" s="1"/>
      <c r="I22" s="1"/>
      <c r="J22" s="1"/>
      <c r="K22" s="1"/>
    </row>
    <row r="23">
      <c r="A23" s="11" t="s">
        <v>65</v>
      </c>
      <c r="B23" s="15">
        <v>95000.0</v>
      </c>
      <c r="C23" s="16">
        <v>42115.88</v>
      </c>
      <c r="D23" s="16">
        <v>48854.42</v>
      </c>
      <c r="E23" s="19">
        <v>2770.0</v>
      </c>
      <c r="F23" s="1"/>
      <c r="G23" s="1"/>
      <c r="H23" s="1"/>
      <c r="I23" s="1"/>
      <c r="J23" s="1"/>
      <c r="K23" s="1"/>
    </row>
    <row r="24">
      <c r="A24" s="11" t="s">
        <v>65</v>
      </c>
      <c r="B24" s="15">
        <v>100000.0</v>
      </c>
      <c r="C24" s="16">
        <v>44332.5</v>
      </c>
      <c r="D24" s="16">
        <v>51425.7</v>
      </c>
      <c r="E24" s="19">
        <v>2770.0</v>
      </c>
      <c r="F24" s="1"/>
      <c r="G24" s="1"/>
      <c r="H24" s="1"/>
      <c r="I24" s="1"/>
      <c r="J24" s="1"/>
      <c r="K24" s="1"/>
    </row>
    <row r="25">
      <c r="A25" s="11" t="s">
        <v>65</v>
      </c>
      <c r="B25" s="15">
        <v>110000.0</v>
      </c>
      <c r="C25" s="16">
        <v>48765.75</v>
      </c>
      <c r="D25" s="16">
        <v>56568.27</v>
      </c>
      <c r="E25" s="19">
        <v>2970.0</v>
      </c>
      <c r="F25" s="1"/>
      <c r="G25" s="1"/>
      <c r="H25" s="1"/>
      <c r="I25" s="1"/>
      <c r="J25" s="1"/>
      <c r="K25" s="1"/>
    </row>
    <row r="26">
      <c r="A26" s="11" t="s">
        <v>65</v>
      </c>
      <c r="B26" s="15">
        <v>120000.0</v>
      </c>
      <c r="C26" s="16">
        <v>53199.0</v>
      </c>
      <c r="D26" s="16">
        <v>61710.84</v>
      </c>
      <c r="E26" s="19">
        <v>3215.0</v>
      </c>
      <c r="F26" s="1"/>
      <c r="G26" s="1"/>
      <c r="H26" s="1"/>
      <c r="I26" s="1"/>
      <c r="J26" s="1"/>
      <c r="K26" s="1"/>
    </row>
    <row r="27">
      <c r="A27" s="11" t="s">
        <v>65</v>
      </c>
      <c r="B27" s="15">
        <v>130000.0</v>
      </c>
      <c r="C27" s="16">
        <v>57632.25</v>
      </c>
      <c r="D27" s="16">
        <v>66853.41</v>
      </c>
      <c r="E27" s="19">
        <v>3455.0</v>
      </c>
      <c r="F27" s="1"/>
      <c r="G27" s="1"/>
      <c r="H27" s="1"/>
      <c r="I27" s="1"/>
      <c r="J27" s="1"/>
      <c r="K27" s="1"/>
    </row>
    <row r="28">
      <c r="A28" s="11" t="s">
        <v>65</v>
      </c>
      <c r="B28" s="15">
        <v>140000.0</v>
      </c>
      <c r="C28" s="16">
        <v>62065.5</v>
      </c>
      <c r="D28" s="16">
        <v>71995.98</v>
      </c>
      <c r="E28" s="19">
        <v>3695.0</v>
      </c>
      <c r="F28" s="1"/>
      <c r="G28" s="1"/>
      <c r="H28" s="1"/>
      <c r="I28" s="1"/>
      <c r="J28" s="1"/>
      <c r="K28" s="1"/>
    </row>
    <row r="29">
      <c r="A29" s="11" t="s">
        <v>65</v>
      </c>
      <c r="B29" s="15">
        <v>150000.0</v>
      </c>
      <c r="C29" s="16">
        <v>66498.75</v>
      </c>
      <c r="D29" s="16">
        <v>77138.55</v>
      </c>
      <c r="E29" s="19">
        <v>3925.0</v>
      </c>
      <c r="F29" s="1"/>
      <c r="G29" s="1"/>
      <c r="H29" s="1"/>
      <c r="I29" s="1"/>
      <c r="J29" s="1"/>
      <c r="K29" s="1"/>
    </row>
    <row r="30">
      <c r="A30" s="11" t="s">
        <v>65</v>
      </c>
      <c r="B30" s="15">
        <v>160000.0</v>
      </c>
      <c r="C30" s="16">
        <v>70932.0</v>
      </c>
      <c r="D30" s="16">
        <v>82281.12</v>
      </c>
      <c r="E30" s="19">
        <v>4160.0</v>
      </c>
      <c r="F30" s="1"/>
      <c r="G30" s="1"/>
      <c r="H30" s="1"/>
      <c r="I30" s="1"/>
      <c r="J30" s="1"/>
      <c r="K30" s="1"/>
    </row>
    <row r="31">
      <c r="A31" s="11" t="s">
        <v>65</v>
      </c>
      <c r="B31" s="15">
        <v>170000.0</v>
      </c>
      <c r="C31" s="16">
        <v>75365.25</v>
      </c>
      <c r="D31" s="16">
        <v>87423.69</v>
      </c>
      <c r="E31" s="19">
        <v>4385.0</v>
      </c>
      <c r="F31" s="1"/>
      <c r="G31" s="1"/>
      <c r="H31" s="1"/>
      <c r="I31" s="1"/>
      <c r="J31" s="1"/>
      <c r="K31" s="1"/>
    </row>
    <row r="32">
      <c r="A32" s="11" t="s">
        <v>65</v>
      </c>
      <c r="B32" s="15">
        <v>180000.0</v>
      </c>
      <c r="C32" s="16">
        <v>79798.5</v>
      </c>
      <c r="D32" s="16">
        <v>92566.26</v>
      </c>
      <c r="E32" s="19">
        <v>4620.0</v>
      </c>
      <c r="F32" s="1"/>
      <c r="G32" s="1"/>
      <c r="H32" s="1"/>
      <c r="I32" s="1"/>
      <c r="J32" s="1"/>
      <c r="K32" s="1"/>
    </row>
    <row r="33">
      <c r="A33" s="11" t="s">
        <v>65</v>
      </c>
      <c r="B33" s="15">
        <v>190000.0</v>
      </c>
      <c r="C33" s="16">
        <v>84231.75</v>
      </c>
      <c r="D33" s="16">
        <v>97708.83</v>
      </c>
      <c r="E33" s="19">
        <v>4870.0</v>
      </c>
      <c r="F33" s="1"/>
      <c r="G33" s="1"/>
      <c r="H33" s="1"/>
      <c r="I33" s="1"/>
      <c r="J33" s="1"/>
      <c r="K33" s="1"/>
    </row>
    <row r="34">
      <c r="A34" s="11" t="s">
        <v>65</v>
      </c>
      <c r="B34" s="15">
        <v>200000.0</v>
      </c>
      <c r="C34" s="16">
        <v>88665.0</v>
      </c>
      <c r="D34" s="16">
        <v>102851.4</v>
      </c>
      <c r="E34" s="19">
        <v>5135.0</v>
      </c>
      <c r="F34" s="1"/>
      <c r="G34" s="1"/>
      <c r="H34" s="1"/>
      <c r="I34" s="1"/>
      <c r="J34" s="1"/>
      <c r="K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4.75"/>
    <col customWidth="1" min="3" max="3" width="26.75"/>
    <col customWidth="1" min="4" max="4" width="12.63"/>
    <col customWidth="1" min="5" max="5" width="9.88"/>
    <col customWidth="1" min="6" max="6" width="10.88"/>
    <col customWidth="1" min="7" max="7" width="10.75"/>
    <col customWidth="1" min="8" max="8" width="10.5"/>
    <col customWidth="1" min="9" max="9" width="14.0"/>
    <col customWidth="1" min="11" max="11" width="21.38"/>
  </cols>
  <sheetData>
    <row r="1">
      <c r="A1" s="2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/>
      <c r="B2" s="2" t="s">
        <v>3</v>
      </c>
      <c r="C2" s="2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13"/>
      <c r="B3" s="17" t="s">
        <v>15</v>
      </c>
      <c r="C3" s="20" t="s">
        <v>17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13"/>
      <c r="B4" s="17" t="s">
        <v>29</v>
      </c>
      <c r="C4" s="20" t="s">
        <v>30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3"/>
      <c r="B5" s="17" t="s">
        <v>36</v>
      </c>
      <c r="C5" s="20" t="s">
        <v>38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3"/>
      <c r="B6" s="20" t="s">
        <v>45</v>
      </c>
      <c r="C6" s="20" t="s">
        <v>46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3"/>
      <c r="B7" s="17" t="s">
        <v>50</v>
      </c>
      <c r="C7" s="34" t="s">
        <v>51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17" t="s">
        <v>58</v>
      </c>
      <c r="C8" s="39" t="s">
        <v>59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17" t="b">
        <v>0</v>
      </c>
      <c r="C9" s="44" t="s">
        <v>66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3"/>
      <c r="B12" s="13" t="s">
        <v>69</v>
      </c>
      <c r="D12" s="3"/>
      <c r="E12" s="13" t="s">
        <v>70</v>
      </c>
      <c r="I12" s="3"/>
      <c r="J12" s="13" t="s">
        <v>71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53"/>
      <c r="B13" s="54" t="s">
        <v>8</v>
      </c>
      <c r="C13" s="55"/>
      <c r="E13" s="54" t="s">
        <v>1</v>
      </c>
      <c r="F13" s="56" t="s">
        <v>8</v>
      </c>
      <c r="G13" s="57" t="s">
        <v>72</v>
      </c>
      <c r="H13" s="58" t="s">
        <v>73</v>
      </c>
      <c r="I13" s="59"/>
      <c r="J13" s="60" t="s">
        <v>74</v>
      </c>
      <c r="K13" s="61" t="s">
        <v>75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53"/>
      <c r="B14" s="62" t="s">
        <v>1</v>
      </c>
      <c r="C14" s="63" t="s">
        <v>76</v>
      </c>
      <c r="E14" s="64" t="s">
        <v>14</v>
      </c>
      <c r="F14" s="65">
        <v>10000.0</v>
      </c>
      <c r="G14" s="66">
        <v>10681.51</v>
      </c>
      <c r="H14" s="67">
        <v>700.0</v>
      </c>
      <c r="I14" s="59"/>
      <c r="J14" s="69" t="s">
        <v>77</v>
      </c>
      <c r="K14" s="7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53"/>
      <c r="B15" s="62" t="s">
        <v>78</v>
      </c>
      <c r="C15" s="63" t="s">
        <v>79</v>
      </c>
      <c r="E15" s="64" t="s">
        <v>20</v>
      </c>
      <c r="F15" s="65">
        <v>15000.0</v>
      </c>
      <c r="G15" s="66">
        <v>14269.39</v>
      </c>
      <c r="H15" s="67">
        <v>805.0</v>
      </c>
      <c r="I15" s="59"/>
      <c r="J15" s="69" t="s">
        <v>80</v>
      </c>
      <c r="K15" s="7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53"/>
      <c r="B16" s="62" t="s">
        <v>73</v>
      </c>
      <c r="C16" s="63" t="s">
        <v>81</v>
      </c>
      <c r="E16" s="64" t="s">
        <v>24</v>
      </c>
      <c r="F16" s="65">
        <v>20000.0</v>
      </c>
      <c r="G16" s="66">
        <v>16631.62</v>
      </c>
      <c r="H16" s="67">
        <v>945.0</v>
      </c>
      <c r="I16" s="59"/>
      <c r="J16" s="74"/>
      <c r="K16" s="75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76"/>
      <c r="C17" s="75"/>
      <c r="E17" s="64" t="s">
        <v>27</v>
      </c>
      <c r="F17" s="65">
        <v>25000.0</v>
      </c>
      <c r="G17" s="66">
        <v>19167.58</v>
      </c>
      <c r="H17" s="67">
        <v>1040.0</v>
      </c>
      <c r="I17" s="59"/>
      <c r="J17" s="76"/>
      <c r="K17" s="75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77"/>
      <c r="C18" s="78"/>
      <c r="E18" s="79" t="s">
        <v>31</v>
      </c>
      <c r="F18" s="80">
        <v>30000.0</v>
      </c>
      <c r="G18" s="81">
        <v>21922.96</v>
      </c>
      <c r="H18" s="82">
        <v>1170.0</v>
      </c>
      <c r="I18" s="59"/>
      <c r="J18" s="77"/>
      <c r="K18" s="7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13" t="s">
        <v>86</v>
      </c>
      <c r="H20" s="3"/>
      <c r="I20" s="13" t="s">
        <v>45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53"/>
      <c r="B21" s="4" t="s">
        <v>0</v>
      </c>
      <c r="C21" s="4" t="s">
        <v>88</v>
      </c>
      <c r="D21" s="4" t="s">
        <v>89</v>
      </c>
      <c r="E21" s="4" t="s">
        <v>90</v>
      </c>
      <c r="F21" s="4" t="s">
        <v>2</v>
      </c>
      <c r="G21" s="4" t="s">
        <v>5</v>
      </c>
      <c r="I21" s="85" t="s">
        <v>91</v>
      </c>
      <c r="J21" s="86" t="s">
        <v>12</v>
      </c>
      <c r="K21" s="87"/>
      <c r="L21" s="88"/>
      <c r="Q21" s="3"/>
      <c r="R21" s="3"/>
      <c r="S21" s="3"/>
      <c r="T21" s="3"/>
      <c r="U21" s="3"/>
      <c r="V21" s="3"/>
      <c r="W21" s="3"/>
      <c r="X21" s="3"/>
      <c r="Y21" s="3"/>
    </row>
    <row r="22">
      <c r="A22" s="5"/>
      <c r="B22" s="18" t="s">
        <v>16</v>
      </c>
      <c r="C22" s="89"/>
      <c r="D22" s="91">
        <v>0.0</v>
      </c>
      <c r="E22" s="91"/>
      <c r="F22" s="92"/>
      <c r="G22" s="92"/>
      <c r="I22" s="93" t="s">
        <v>92</v>
      </c>
      <c r="J22" s="94" t="s">
        <v>93</v>
      </c>
      <c r="K22" s="95" t="s">
        <v>94</v>
      </c>
      <c r="L22" s="96"/>
      <c r="Q22" s="3"/>
      <c r="R22" s="3"/>
      <c r="S22" s="3"/>
      <c r="T22" s="3"/>
      <c r="U22" s="3"/>
      <c r="V22" s="3"/>
      <c r="W22" s="3"/>
      <c r="X22" s="3"/>
      <c r="Y22" s="3"/>
    </row>
    <row r="23">
      <c r="A23" s="5"/>
      <c r="B23" s="18" t="s">
        <v>28</v>
      </c>
      <c r="C23" s="97">
        <v>2.0</v>
      </c>
      <c r="D23" s="91">
        <v>1508.0</v>
      </c>
      <c r="E23" s="91">
        <f>C23*D23</f>
        <v>3016</v>
      </c>
      <c r="F23" s="17" t="b">
        <v>0</v>
      </c>
      <c r="G23" s="92" t="b">
        <v>0</v>
      </c>
      <c r="I23" s="98" t="s">
        <v>33</v>
      </c>
      <c r="J23" s="99" t="s">
        <v>95</v>
      </c>
      <c r="K23" s="101"/>
      <c r="L23" s="102"/>
      <c r="Q23" s="3"/>
      <c r="R23" s="3"/>
      <c r="S23" s="3"/>
      <c r="T23" s="3"/>
      <c r="U23" s="3"/>
      <c r="V23" s="3"/>
      <c r="W23" s="3"/>
      <c r="X23" s="3"/>
      <c r="Y23" s="3"/>
    </row>
    <row r="24" ht="35.25" customHeight="1">
      <c r="A24" s="5"/>
      <c r="B24" s="18" t="s">
        <v>39</v>
      </c>
      <c r="C24" s="103">
        <v>500.0</v>
      </c>
      <c r="D24" s="91">
        <v>1500.0</v>
      </c>
      <c r="E24" s="91"/>
      <c r="F24" s="92"/>
      <c r="G24" s="92" t="b">
        <v>0</v>
      </c>
      <c r="I24" s="104" t="s">
        <v>96</v>
      </c>
      <c r="J24" s="105" t="s">
        <v>97</v>
      </c>
      <c r="K24" s="87"/>
      <c r="L24" s="106"/>
      <c r="Q24" s="3"/>
      <c r="R24" s="3"/>
      <c r="S24" s="3"/>
      <c r="T24" s="3"/>
      <c r="U24" s="3"/>
      <c r="V24" s="3"/>
      <c r="W24" s="3"/>
      <c r="X24" s="3"/>
      <c r="Y24" s="3"/>
    </row>
    <row r="25" ht="46.5" customHeight="1">
      <c r="A25" s="5"/>
      <c r="B25" s="18" t="s">
        <v>48</v>
      </c>
      <c r="C25" s="103">
        <v>1000.0</v>
      </c>
      <c r="D25" s="91">
        <v>1500.0</v>
      </c>
      <c r="E25" s="91"/>
      <c r="F25" s="92"/>
      <c r="G25" s="92" t="b">
        <v>0</v>
      </c>
      <c r="I25" s="107"/>
      <c r="J25" s="108"/>
      <c r="K25" s="109"/>
      <c r="L25" s="110"/>
      <c r="Q25" s="3"/>
      <c r="R25" s="3"/>
      <c r="S25" s="3"/>
      <c r="T25" s="3"/>
      <c r="U25" s="3"/>
      <c r="V25" s="3"/>
      <c r="W25" s="3"/>
      <c r="X25" s="3"/>
      <c r="Y25" s="3"/>
    </row>
    <row r="26">
      <c r="A26" s="5"/>
      <c r="B26" s="18" t="s">
        <v>44</v>
      </c>
      <c r="C26" s="97">
        <v>1.0</v>
      </c>
      <c r="D26" s="91">
        <v>4000.0</v>
      </c>
      <c r="E26" s="91"/>
      <c r="F26" s="92" t="b">
        <v>0</v>
      </c>
      <c r="G26" s="92"/>
      <c r="I26" s="98"/>
      <c r="J26" s="112" t="s">
        <v>98</v>
      </c>
      <c r="K26" s="101"/>
      <c r="L26" s="102"/>
      <c r="Q26" s="3"/>
      <c r="R26" s="3"/>
      <c r="S26" s="3"/>
      <c r="T26" s="3"/>
      <c r="U26" s="3"/>
      <c r="V26" s="3"/>
      <c r="W26" s="3"/>
      <c r="X26" s="3"/>
      <c r="Y26" s="3"/>
    </row>
    <row r="27">
      <c r="A27" s="5"/>
      <c r="B27" s="18" t="s">
        <v>52</v>
      </c>
      <c r="C27" s="89"/>
      <c r="D27" s="91">
        <v>0.0</v>
      </c>
      <c r="E27" s="91"/>
      <c r="F27" s="92"/>
      <c r="G27" s="92"/>
      <c r="I27" s="98" t="s">
        <v>53</v>
      </c>
      <c r="J27" s="113" t="s">
        <v>99</v>
      </c>
      <c r="K27" s="18" t="s">
        <v>100</v>
      </c>
      <c r="L27" s="114" t="s">
        <v>101</v>
      </c>
      <c r="Q27" s="3"/>
      <c r="R27" s="3"/>
      <c r="S27" s="3"/>
      <c r="T27" s="3"/>
      <c r="U27" s="3"/>
      <c r="V27" s="3"/>
      <c r="W27" s="3"/>
      <c r="X27" s="3"/>
      <c r="Y27" s="3"/>
    </row>
    <row r="28">
      <c r="A28" s="5"/>
      <c r="B28" s="18" t="s">
        <v>57</v>
      </c>
      <c r="C28" s="34" t="s">
        <v>102</v>
      </c>
      <c r="D28" s="91"/>
      <c r="E28" s="91"/>
      <c r="F28" s="92"/>
      <c r="G28" s="92" t="b">
        <v>0</v>
      </c>
      <c r="I28" s="98"/>
      <c r="J28" s="113"/>
      <c r="K28" s="18"/>
      <c r="L28" s="115"/>
      <c r="Q28" s="3"/>
      <c r="R28" s="3"/>
      <c r="S28" s="3"/>
      <c r="T28" s="3"/>
      <c r="U28" s="3"/>
      <c r="V28" s="3"/>
      <c r="W28" s="3"/>
      <c r="X28" s="3"/>
      <c r="Y28" s="3"/>
    </row>
    <row r="29">
      <c r="A29" s="5"/>
      <c r="B29" s="18" t="s">
        <v>60</v>
      </c>
      <c r="C29" s="116" t="s">
        <v>103</v>
      </c>
      <c r="D29" s="91"/>
      <c r="E29" s="91"/>
      <c r="F29" s="92" t="b">
        <v>0</v>
      </c>
      <c r="G29" s="92" t="b">
        <v>0</v>
      </c>
      <c r="I29" s="98" t="s">
        <v>104</v>
      </c>
      <c r="J29" s="113" t="s">
        <v>105</v>
      </c>
      <c r="K29" s="18" t="s">
        <v>63</v>
      </c>
      <c r="L29" s="114" t="s">
        <v>106</v>
      </c>
      <c r="Q29" s="3"/>
      <c r="R29" s="3"/>
      <c r="S29" s="3"/>
      <c r="T29" s="3"/>
      <c r="U29" s="3"/>
      <c r="V29" s="3"/>
      <c r="W29" s="3"/>
      <c r="X29" s="3"/>
      <c r="Y29" s="3"/>
    </row>
    <row r="30">
      <c r="A30" s="11"/>
      <c r="B30" s="42" t="s">
        <v>67</v>
      </c>
      <c r="C30" s="89"/>
      <c r="D30" s="89"/>
      <c r="E30" s="91"/>
      <c r="F30" s="92" t="b">
        <v>0</v>
      </c>
      <c r="G30" s="22"/>
      <c r="I30" s="117" t="s">
        <v>107</v>
      </c>
      <c r="J30" s="118"/>
      <c r="K30" s="119"/>
      <c r="L30" s="120"/>
      <c r="Q30" s="3"/>
      <c r="R30" s="3"/>
      <c r="S30" s="3"/>
      <c r="T30" s="3"/>
      <c r="U30" s="3"/>
      <c r="V30" s="3"/>
      <c r="W30" s="3"/>
      <c r="X30" s="3"/>
      <c r="Y30" s="3"/>
    </row>
    <row r="31">
      <c r="A31" s="1"/>
      <c r="B31" s="1"/>
      <c r="C31" s="3"/>
      <c r="D31" s="3"/>
      <c r="E31" s="3"/>
      <c r="F31" s="1"/>
      <c r="G31" s="1"/>
      <c r="H31" s="1"/>
      <c r="I31" s="1"/>
      <c r="J31" s="1"/>
      <c r="K31" s="1"/>
      <c r="L31" s="1"/>
      <c r="M31" s="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1"/>
      <c r="H32" s="3"/>
      <c r="I32" s="1"/>
      <c r="J32" s="1"/>
      <c r="K32" s="1"/>
      <c r="L32" s="1"/>
      <c r="M32" s="1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121"/>
      <c r="B33" s="122" t="s">
        <v>108</v>
      </c>
      <c r="C33" s="123" t="s">
        <v>109</v>
      </c>
      <c r="D33" s="44" t="s">
        <v>110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13"/>
      <c r="B34" s="124" t="s">
        <v>5</v>
      </c>
      <c r="C34" s="123" t="s">
        <v>111</v>
      </c>
      <c r="D34" s="44" t="s">
        <v>112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13"/>
      <c r="B35" s="124" t="s">
        <v>113</v>
      </c>
      <c r="C35" s="123" t="s">
        <v>114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12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</sheetData>
  <mergeCells count="11">
    <mergeCell ref="J23:L23"/>
    <mergeCell ref="I24:I25"/>
    <mergeCell ref="J24:L25"/>
    <mergeCell ref="J26:L26"/>
    <mergeCell ref="B12:C12"/>
    <mergeCell ref="E12:H12"/>
    <mergeCell ref="J12:K12"/>
    <mergeCell ref="B20:G20"/>
    <mergeCell ref="I20:L20"/>
    <mergeCell ref="J21:L21"/>
    <mergeCell ref="K22:L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2" max="2" width="12.25"/>
    <col customWidth="1" min="6" max="6" width="11.25"/>
    <col customWidth="1" min="7" max="7" width="13.38"/>
    <col customWidth="1" min="8" max="8" width="13.13"/>
    <col customWidth="1" min="9" max="9" width="10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4" t="s">
        <v>0</v>
      </c>
      <c r="C2" s="4" t="s">
        <v>2</v>
      </c>
      <c r="D2" s="4" t="s">
        <v>5</v>
      </c>
      <c r="E2" s="4" t="s">
        <v>6</v>
      </c>
      <c r="F2" s="7" t="s">
        <v>7</v>
      </c>
      <c r="G2" s="4" t="s">
        <v>11</v>
      </c>
      <c r="H2" s="10" t="s">
        <v>12</v>
      </c>
      <c r="I2" s="12"/>
      <c r="J2" s="14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8" t="s">
        <v>16</v>
      </c>
      <c r="C3" s="18"/>
      <c r="D3" s="18"/>
      <c r="E3" s="18" t="s">
        <v>18</v>
      </c>
      <c r="F3" s="18"/>
      <c r="G3" s="18" t="s">
        <v>21</v>
      </c>
      <c r="H3" s="18" t="s">
        <v>22</v>
      </c>
      <c r="I3" s="18" t="s">
        <v>23</v>
      </c>
      <c r="J3" s="22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18" t="s">
        <v>28</v>
      </c>
      <c r="C4" s="23">
        <v>1508.0</v>
      </c>
      <c r="D4" s="23">
        <v>1508.0</v>
      </c>
      <c r="E4" s="18"/>
      <c r="F4" s="18"/>
      <c r="G4" s="18" t="s">
        <v>33</v>
      </c>
      <c r="H4" s="18" t="s">
        <v>34</v>
      </c>
      <c r="I4" s="18" t="s">
        <v>35</v>
      </c>
      <c r="J4" s="22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18" t="s">
        <v>39</v>
      </c>
      <c r="C5" s="18"/>
      <c r="D5" s="18" t="s">
        <v>40</v>
      </c>
      <c r="E5" s="18"/>
      <c r="F5" s="18"/>
      <c r="G5" s="18"/>
      <c r="H5" s="18"/>
      <c r="I5" s="18"/>
      <c r="J5" s="22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18" t="s">
        <v>44</v>
      </c>
      <c r="C6" s="23">
        <v>4000.0</v>
      </c>
      <c r="D6" s="18"/>
      <c r="E6" s="18"/>
      <c r="F6" s="18"/>
      <c r="G6" s="18"/>
      <c r="H6" s="18" t="s">
        <v>47</v>
      </c>
      <c r="I6" s="18"/>
      <c r="J6" s="22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8" t="s">
        <v>48</v>
      </c>
      <c r="C7" s="18"/>
      <c r="D7" s="18" t="s">
        <v>40</v>
      </c>
      <c r="E7" s="18"/>
      <c r="F7" s="18"/>
      <c r="G7" s="18"/>
      <c r="H7" s="18"/>
      <c r="I7" s="18"/>
      <c r="J7" s="22"/>
      <c r="K7" s="1"/>
      <c r="L7" s="1"/>
      <c r="M7" s="1"/>
      <c r="N7" s="1"/>
      <c r="O7" s="1"/>
      <c r="P7" s="1"/>
      <c r="Q7" s="1"/>
      <c r="R7" s="1"/>
      <c r="S7" s="1"/>
      <c r="T7" s="1"/>
    </row>
    <row r="8" ht="86.25" customHeight="1">
      <c r="A8" s="1"/>
      <c r="B8" s="18" t="s">
        <v>52</v>
      </c>
      <c r="C8" s="18"/>
      <c r="D8" s="18"/>
      <c r="E8" s="18">
        <v>399.0</v>
      </c>
      <c r="F8" s="18"/>
      <c r="G8" s="18" t="s">
        <v>53</v>
      </c>
      <c r="H8" s="18" t="s">
        <v>54</v>
      </c>
      <c r="I8" s="18" t="s">
        <v>55</v>
      </c>
      <c r="J8" s="18" t="s">
        <v>56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8" t="s">
        <v>57</v>
      </c>
      <c r="C9" s="18"/>
      <c r="D9" s="18"/>
      <c r="E9" s="18"/>
      <c r="F9" s="18"/>
      <c r="G9" s="18"/>
      <c r="H9" s="18"/>
      <c r="I9" s="18"/>
      <c r="J9" s="22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8" t="s">
        <v>60</v>
      </c>
      <c r="C10" s="18" t="s">
        <v>18</v>
      </c>
      <c r="D10" s="18" t="s">
        <v>18</v>
      </c>
      <c r="E10" s="18"/>
      <c r="F10" s="18"/>
      <c r="G10" s="18" t="s">
        <v>61</v>
      </c>
      <c r="H10" s="18" t="s">
        <v>62</v>
      </c>
      <c r="I10" s="18" t="s">
        <v>63</v>
      </c>
      <c r="J10" s="42" t="s">
        <v>64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1" t="s">
        <v>67</v>
      </c>
      <c r="C13" s="11" t="s">
        <v>68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</sheetData>
  <mergeCells count="1">
    <mergeCell ref="H2:J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3.88"/>
    <col customWidth="1" min="2" max="27" width="9.88"/>
  </cols>
  <sheetData>
    <row r="1">
      <c r="A1" s="5"/>
      <c r="B1" s="5"/>
      <c r="C1" s="5"/>
      <c r="D1" s="5"/>
      <c r="E1" s="5"/>
      <c r="F1" s="5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9"/>
      <c r="B3" s="9"/>
      <c r="C3" s="21" t="s">
        <v>19</v>
      </c>
      <c r="D3" s="12"/>
      <c r="E3" s="14"/>
      <c r="F3" s="21" t="s">
        <v>25</v>
      </c>
      <c r="G3" s="12"/>
      <c r="H3" s="14"/>
      <c r="I3" s="21" t="s">
        <v>26</v>
      </c>
      <c r="J3" s="12"/>
      <c r="K3" s="14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9"/>
      <c r="B4" s="25" t="s">
        <v>32</v>
      </c>
      <c r="C4" s="27" t="s">
        <v>37</v>
      </c>
      <c r="D4" s="29" t="s">
        <v>41</v>
      </c>
      <c r="E4" s="31" t="s">
        <v>42</v>
      </c>
      <c r="F4" s="32" t="s">
        <v>37</v>
      </c>
      <c r="G4" s="29" t="s">
        <v>41</v>
      </c>
      <c r="H4" s="31" t="s">
        <v>42</v>
      </c>
      <c r="I4" s="32" t="s">
        <v>37</v>
      </c>
      <c r="J4" s="29" t="s">
        <v>41</v>
      </c>
      <c r="K4" s="31" t="s">
        <v>42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9"/>
      <c r="B5" s="33">
        <v>0.15</v>
      </c>
      <c r="C5" s="35">
        <v>0.03</v>
      </c>
      <c r="D5" s="36">
        <v>0.0225</v>
      </c>
      <c r="E5" s="43">
        <f t="shared" ref="E5:E9" si="1">D5+C5</f>
        <v>0.0525</v>
      </c>
      <c r="F5" s="35">
        <v>0.03</v>
      </c>
      <c r="G5" s="36">
        <v>0.0325</v>
      </c>
      <c r="H5" s="43">
        <f t="shared" ref="H5:H9" si="2">G5+F5</f>
        <v>0.0625</v>
      </c>
      <c r="I5" s="35">
        <v>0.03</v>
      </c>
      <c r="J5" s="36">
        <v>0.035</v>
      </c>
      <c r="K5" s="43">
        <f t="shared" ref="K5:K9" si="3">J5+I5</f>
        <v>0.065</v>
      </c>
      <c r="L5" s="46"/>
      <c r="M5" s="46"/>
      <c r="N5" s="46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9"/>
      <c r="B6" s="50">
        <v>0.25</v>
      </c>
      <c r="C6" s="51">
        <v>0.04</v>
      </c>
      <c r="D6" s="52">
        <v>0.045</v>
      </c>
      <c r="E6" s="43">
        <f t="shared" si="1"/>
        <v>0.085</v>
      </c>
      <c r="F6" s="51">
        <v>0.04</v>
      </c>
      <c r="G6" s="52">
        <v>0.065</v>
      </c>
      <c r="H6" s="43">
        <f t="shared" si="2"/>
        <v>0.105</v>
      </c>
      <c r="I6" s="51">
        <v>0.04</v>
      </c>
      <c r="J6" s="52">
        <v>0.07</v>
      </c>
      <c r="K6" s="43">
        <f t="shared" si="3"/>
        <v>0.11</v>
      </c>
      <c r="L6" s="46"/>
      <c r="M6" s="46"/>
      <c r="N6" s="46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9"/>
      <c r="B7" s="50">
        <v>0.35</v>
      </c>
      <c r="C7" s="51">
        <v>0.04</v>
      </c>
      <c r="D7" s="52">
        <v>0.045</v>
      </c>
      <c r="E7" s="43">
        <f t="shared" si="1"/>
        <v>0.085</v>
      </c>
      <c r="F7" s="51">
        <v>0.04</v>
      </c>
      <c r="G7" s="52">
        <v>0.075</v>
      </c>
      <c r="H7" s="43">
        <f t="shared" si="2"/>
        <v>0.115</v>
      </c>
      <c r="I7" s="51">
        <v>0.04</v>
      </c>
      <c r="J7" s="52">
        <v>0.08</v>
      </c>
      <c r="K7" s="43">
        <f t="shared" si="3"/>
        <v>0.12</v>
      </c>
      <c r="L7" s="46"/>
      <c r="M7" s="46"/>
      <c r="N7" s="46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9"/>
      <c r="B8" s="50">
        <v>0.5</v>
      </c>
      <c r="C8" s="51">
        <v>0.04</v>
      </c>
      <c r="D8" s="52">
        <v>0.065</v>
      </c>
      <c r="E8" s="43">
        <f t="shared" si="1"/>
        <v>0.105</v>
      </c>
      <c r="F8" s="51">
        <v>0.04</v>
      </c>
      <c r="G8" s="52">
        <v>0.085</v>
      </c>
      <c r="H8" s="43">
        <f t="shared" si="2"/>
        <v>0.125</v>
      </c>
      <c r="I8" s="51">
        <v>0.04</v>
      </c>
      <c r="J8" s="52">
        <v>0.095</v>
      </c>
      <c r="K8" s="43">
        <f t="shared" si="3"/>
        <v>0.135</v>
      </c>
      <c r="L8" s="46"/>
      <c r="M8" s="46"/>
      <c r="N8" s="46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9"/>
      <c r="B9" s="68">
        <v>1.0</v>
      </c>
      <c r="C9" s="70">
        <v>0.04</v>
      </c>
      <c r="D9" s="72">
        <v>0.08</v>
      </c>
      <c r="E9" s="73">
        <f t="shared" si="1"/>
        <v>0.12</v>
      </c>
      <c r="F9" s="70">
        <v>0.04</v>
      </c>
      <c r="G9" s="72">
        <v>0.1</v>
      </c>
      <c r="H9" s="73">
        <f t="shared" si="2"/>
        <v>0.14</v>
      </c>
      <c r="I9" s="70">
        <v>0.04</v>
      </c>
      <c r="J9" s="72">
        <v>0.11</v>
      </c>
      <c r="K9" s="73">
        <f t="shared" si="3"/>
        <v>0.15</v>
      </c>
      <c r="L9" s="46"/>
      <c r="M9" s="46"/>
      <c r="N9" s="46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9"/>
      <c r="B13" s="9"/>
      <c r="C13" s="5" t="s">
        <v>82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9"/>
      <c r="B14" s="9"/>
      <c r="C14" s="83" t="s">
        <v>83</v>
      </c>
      <c r="D14" s="83" t="s">
        <v>84</v>
      </c>
      <c r="E14" s="9"/>
      <c r="F14" s="5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9"/>
      <c r="B15" s="9"/>
      <c r="C15" s="18" t="s">
        <v>85</v>
      </c>
      <c r="D15" s="18">
        <v>25.0</v>
      </c>
      <c r="E15" s="9"/>
      <c r="F15" s="84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"/>
      <c r="B16" s="9"/>
      <c r="C16" s="18" t="s">
        <v>87</v>
      </c>
      <c r="D16" s="18">
        <v>10.0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9"/>
      <c r="B20" s="9"/>
      <c r="C20" s="5"/>
      <c r="D20" s="84"/>
      <c r="E20" s="84"/>
      <c r="F20" s="84"/>
      <c r="G20" s="84"/>
      <c r="H20" s="84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9"/>
      <c r="B21" s="9"/>
      <c r="C21" s="90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9"/>
      <c r="B22" s="9"/>
      <c r="C22" s="90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9"/>
      <c r="B23" s="9"/>
      <c r="C23" s="90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9"/>
      <c r="B24" s="9"/>
      <c r="C24" s="90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9"/>
      <c r="B25" s="9"/>
      <c r="C25" s="90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"/>
      <c r="B26" s="9"/>
      <c r="C26" s="90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9"/>
      <c r="B27" s="9"/>
      <c r="C27" s="90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9"/>
      <c r="B28" s="9"/>
      <c r="C28" s="90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9"/>
      <c r="B29" s="9"/>
      <c r="C29" s="90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9"/>
      <c r="B30" s="9"/>
      <c r="C30" s="90">
        <v>55000.0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/>
      <c r="B31" s="9"/>
      <c r="C31" s="100">
        <v>60000.0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/>
      <c r="B32" s="9"/>
      <c r="C32" s="90">
        <v>65000.0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9"/>
      <c r="C33" s="90">
        <v>70000.0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9"/>
      <c r="B34" s="9"/>
      <c r="C34" s="90">
        <v>75000.0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9"/>
      <c r="B35" s="9"/>
      <c r="C35" s="90">
        <v>80000.0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"/>
      <c r="B36" s="9"/>
      <c r="C36" s="90">
        <v>85000.0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/>
      <c r="B37" s="9"/>
      <c r="C37" s="111">
        <v>90000.0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/>
      <c r="B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</sheetData>
  <mergeCells count="4">
    <mergeCell ref="C3:E3"/>
    <mergeCell ref="F3:H3"/>
    <mergeCell ref="I3:K3"/>
    <mergeCell ref="C13:D13"/>
  </mergeCells>
  <drawing r:id="rId1"/>
</worksheet>
</file>