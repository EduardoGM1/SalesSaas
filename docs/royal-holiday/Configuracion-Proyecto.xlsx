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 proyecto" sheetId="1" r:id="rId5"/>
    <sheet state="visible" name="Financiamiento" sheetId="2" r:id="rId6"/>
    <sheet state="visible" name="Comisiones" sheetId="3" r:id="rId7"/>
    <sheet state="visible" name="Botton lines" sheetId="4" r:id="rId8"/>
    <sheet state="visible" name="Regalos " sheetId="5" r:id="rId9"/>
  </sheets>
  <definedNames/>
  <calcPr/>
</workbook>
</file>

<file path=xl/sharedStrings.xml><?xml version="1.0" encoding="utf-8"?>
<sst xmlns="http://schemas.openxmlformats.org/spreadsheetml/2006/main" count="206" uniqueCount="88">
  <si>
    <t xml:space="preserve">Comsion </t>
  </si>
  <si>
    <t xml:space="preserve">MENSUALIDADES </t>
  </si>
  <si>
    <t>Financiamiento</t>
  </si>
  <si>
    <t>0 - 14.999 HC</t>
  </si>
  <si>
    <t>Venta</t>
  </si>
  <si>
    <t>Membresía</t>
  </si>
  <si>
    <t>Créditos</t>
  </si>
  <si>
    <t>Open</t>
  </si>
  <si>
    <t>Precio mínimo sin IVA</t>
  </si>
  <si>
    <t>Precio mínimo con IVA</t>
  </si>
  <si>
    <t>CONCEPTOS</t>
  </si>
  <si>
    <t>M.Fee</t>
  </si>
  <si>
    <t>15.000 - 24.999 HC</t>
  </si>
  <si>
    <t>BRZ+</t>
  </si>
  <si>
    <t xml:space="preserve">Descripcion </t>
  </si>
  <si>
    <t xml:space="preserve">UNIDAD DE COMPRA </t>
  </si>
  <si>
    <t>Dolares</t>
  </si>
  <si>
    <t>25.000 HC o más</t>
  </si>
  <si>
    <t xml:space="preserve">COSTO ADMINISTRATIVO </t>
  </si>
  <si>
    <t xml:space="preserve">Costo </t>
  </si>
  <si>
    <t>Down Payment</t>
  </si>
  <si>
    <t>Enganche</t>
  </si>
  <si>
    <t>Plazo</t>
  </si>
  <si>
    <t xml:space="preserve">Regalos </t>
  </si>
  <si>
    <t>Liner</t>
  </si>
  <si>
    <t xml:space="preserve">Mexicanos </t>
  </si>
  <si>
    <t>Closer</t>
  </si>
  <si>
    <t>TIPOS DE ENGANCHES</t>
  </si>
  <si>
    <t>Enganches</t>
  </si>
  <si>
    <t>FTB</t>
  </si>
  <si>
    <t xml:space="preserve">Resto del mundo </t>
  </si>
  <si>
    <t>Argentinos</t>
  </si>
  <si>
    <t xml:space="preserve">Configuracion Cliente </t>
  </si>
  <si>
    <t xml:space="preserve">TIPO DE  Financiammientos para CLIENTES </t>
  </si>
  <si>
    <t xml:space="preserve">Argentinos </t>
  </si>
  <si>
    <t>SLVR</t>
  </si>
  <si>
    <t>Numero de ADP (Adictional down payment)</t>
  </si>
  <si>
    <t>SLV+</t>
  </si>
  <si>
    <t xml:space="preserve">TARJETAS de financiacion interna </t>
  </si>
  <si>
    <t>Invex</t>
  </si>
  <si>
    <t>RCI</t>
  </si>
  <si>
    <t>GOLD</t>
  </si>
  <si>
    <t>Comisiones</t>
  </si>
  <si>
    <t>GOLD+</t>
  </si>
  <si>
    <t>PLATA</t>
  </si>
  <si>
    <t>PLATA+</t>
  </si>
  <si>
    <t>ROYAL</t>
  </si>
  <si>
    <t>N/A</t>
  </si>
  <si>
    <t>Regalos</t>
  </si>
  <si>
    <t>Closing cost</t>
  </si>
  <si>
    <t xml:space="preserve">Venta </t>
  </si>
  <si>
    <t xml:space="preserve">Sin Costo </t>
  </si>
  <si>
    <t xml:space="preserve">Holyday Credits </t>
  </si>
  <si>
    <t>Es ?</t>
  </si>
  <si>
    <t>Restricciones</t>
  </si>
  <si>
    <t xml:space="preserve">Prevelige Member </t>
  </si>
  <si>
    <t>x</t>
  </si>
  <si>
    <r>
      <rPr>
        <rFont val="Google Sans"/>
        <color theme="1"/>
      </rPr>
      <t>45 Noches de hospedaje (</t>
    </r>
    <r>
      <rPr>
        <rFont val="Google Sans"/>
        <i/>
        <color rgb="FF999999"/>
      </rPr>
      <t>pagan su A/I</t>
    </r>
    <r>
      <rPr>
        <rFont val="Google Sans"/>
        <color theme="1"/>
      </rPr>
      <t>)</t>
    </r>
  </si>
  <si>
    <t xml:space="preserve">Se liberan acorde al pago de membresia </t>
  </si>
  <si>
    <t>Venta minima 15 HC</t>
  </si>
  <si>
    <t xml:space="preserve">Flyback </t>
  </si>
  <si>
    <t xml:space="preserve">2 Certificados </t>
  </si>
  <si>
    <t>De $500 c/u = 1K</t>
  </si>
  <si>
    <r>
      <rPr>
        <rFont val="Google Sans"/>
        <color theme="1"/>
      </rPr>
      <t xml:space="preserve">Venta minima </t>
    </r>
    <r>
      <rPr>
        <rFont val="Google Sans"/>
        <b/>
        <color rgb="FF999999"/>
      </rPr>
      <t>$19,167.58</t>
    </r>
  </si>
  <si>
    <t>All inclusive</t>
  </si>
  <si>
    <t>1000 - 500</t>
  </si>
  <si>
    <t xml:space="preserve">Move In </t>
  </si>
  <si>
    <r>
      <rPr>
        <rFont val="Google Sans"/>
        <color theme="1"/>
      </rPr>
      <t xml:space="preserve">El monto son pesos </t>
    </r>
    <r>
      <rPr>
        <rFont val="Google Sans"/>
        <b/>
        <color theme="1"/>
      </rPr>
      <t>MX</t>
    </r>
  </si>
  <si>
    <t xml:space="preserve">Certificado de vuelo </t>
  </si>
  <si>
    <t xml:space="preserve">Certificado multidestino </t>
  </si>
  <si>
    <t xml:space="preserve">12 Meses para usarlo </t>
  </si>
  <si>
    <t>4 noches - 5 dias (2 adultos - 2 niños)</t>
  </si>
  <si>
    <r>
      <rPr>
        <rFont val="Google Sans"/>
        <b/>
        <i/>
        <color rgb="FF666666"/>
      </rPr>
      <t xml:space="preserve">ROYAL PARK
</t>
    </r>
    <r>
      <rPr>
        <rFont val="Google Sans"/>
        <color theme="1"/>
      </rPr>
      <t>Orlando. 
Miami
Buenos Aires 
Puerto Rico</t>
    </r>
  </si>
  <si>
    <r>
      <rPr>
        <rFont val="Google Sans"/>
        <b/>
        <i/>
        <color rgb="FF666666"/>
      </rPr>
      <t>REGINA</t>
    </r>
    <r>
      <rPr>
        <rFont val="Google Sans"/>
        <color theme="1"/>
      </rPr>
      <t xml:space="preserve">
Cabo
Vallarta
Cancun</t>
    </r>
  </si>
  <si>
    <t>Tours</t>
  </si>
  <si>
    <t>Bono de creditos</t>
  </si>
  <si>
    <t>HC Extras, para mas vacaciones</t>
  </si>
  <si>
    <t>Socio para MFee</t>
  </si>
  <si>
    <t>Expira en 18 meses</t>
  </si>
  <si>
    <t xml:space="preserve">10K
15K
30K
---------
(x2) ... Max </t>
  </si>
  <si>
    <t>ADP (Aditional down payment)</t>
  </si>
  <si>
    <t>Numero de down paymentes</t>
  </si>
  <si>
    <t xml:space="preserve">REGALOS </t>
  </si>
  <si>
    <r>
      <rPr>
        <rFont val="Google Sans"/>
        <color theme="1"/>
      </rPr>
      <t>45 Noches de hospedaje (</t>
    </r>
    <r>
      <rPr>
        <rFont val="Google Sans"/>
        <i/>
        <color rgb="FF999999"/>
      </rPr>
      <t>pagan su A/I</t>
    </r>
    <r>
      <rPr>
        <rFont val="Google Sans"/>
        <color theme="1"/>
      </rPr>
      <t>)</t>
    </r>
  </si>
  <si>
    <r>
      <rPr>
        <rFont val="Google Sans"/>
        <color theme="1"/>
      </rPr>
      <t xml:space="preserve">Venta minima </t>
    </r>
    <r>
      <rPr>
        <rFont val="Google Sans"/>
        <b/>
        <color rgb="FF999999"/>
      </rPr>
      <t>$19,167.58</t>
    </r>
  </si>
  <si>
    <r>
      <rPr>
        <rFont val="Google Sans"/>
        <color theme="1"/>
      </rPr>
      <t xml:space="preserve">El monto son pesos </t>
    </r>
    <r>
      <rPr>
        <rFont val="Google Sans"/>
        <b/>
        <color theme="1"/>
      </rPr>
      <t>MX</t>
    </r>
  </si>
  <si>
    <r>
      <rPr>
        <rFont val="Google Sans"/>
        <b/>
        <i/>
        <color rgb="FF666666"/>
      </rPr>
      <t xml:space="preserve">ROYAL PARK
</t>
    </r>
    <r>
      <rPr>
        <rFont val="Google Sans"/>
        <color theme="1"/>
      </rPr>
      <t>Orlando. 
Miami
Buenos Aires 
Puerto Rico</t>
    </r>
  </si>
  <si>
    <r>
      <rPr>
        <rFont val="Google Sans"/>
        <b/>
        <i/>
        <color rgb="FF666666"/>
      </rPr>
      <t>REGINA</t>
    </r>
    <r>
      <rPr>
        <rFont val="Google Sans"/>
        <color theme="1"/>
      </rPr>
      <t xml:space="preserve">
Cabo
Vallarta
Cancun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</si>
</sst>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;(#,##0)"/>
    <numFmt numFmtId="165" formatCode="&quot;$&quot;#,##0.00"/>
    <numFmt numFmtId="166" formatCode="&quot;$&quot;#,##0"/>
    <numFmt numFmtId="167" formatCode="#,##0.0000000"/>
    <numFmt numFmtId="168" formatCode="#,##0.0"/>
    <numFmt numFmtId="169" formatCode="[$$]#,##0"/>
  </numFmts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theme="1"/>
      <name val="Google Sans"/>
    </font>
    <font>
      <b/>
      <color theme="1"/>
      <name val="Google Sans"/>
    </font>
    <font/>
    <font>
      <color rgb="FFFFFFFF"/>
      <name val="Arial"/>
      <scheme val="minor"/>
    </font>
    <font>
      <b/>
      <i/>
      <color theme="1"/>
      <name val="Google Sans"/>
    </font>
    <font>
      <i/>
      <color rgb="FF0000FF"/>
      <name val="Google Sans"/>
    </font>
    <font>
      <i/>
      <color rgb="FF999999"/>
      <name val="Google Sans"/>
    </font>
    <font>
      <strike/>
      <color theme="1"/>
      <name val="Google Sans"/>
    </font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0B5394"/>
        <bgColor rgb="FF0B5394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36">
    <border/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double">
        <color rgb="FF666666"/>
      </left>
      <right style="thin">
        <color rgb="FFCCCCCC"/>
      </right>
      <top style="double">
        <color rgb="FF666666"/>
      </top>
      <bottom style="double">
        <color rgb="FF666666"/>
      </bottom>
    </border>
    <border>
      <left style="thin">
        <color rgb="FFCCCCCC"/>
      </left>
      <right style="thin">
        <color rgb="FFCCCCCC"/>
      </right>
      <top style="double">
        <color rgb="FF666666"/>
      </top>
      <bottom style="double">
        <color rgb="FF666666"/>
      </bottom>
    </border>
    <border>
      <left style="thin">
        <color rgb="FFCCCCCC"/>
      </left>
      <right style="double">
        <color rgb="FF666666"/>
      </right>
      <top style="double">
        <color rgb="FF666666"/>
      </top>
      <bottom style="double">
        <color rgb="FF666666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double">
        <color rgb="FFB7B7B7"/>
      </left>
      <right style="thin">
        <color rgb="FFB7B7B7"/>
      </right>
      <top style="double">
        <color rgb="FFB7B7B7"/>
      </top>
      <bottom style="thin">
        <color rgb="FFB7B7B7"/>
      </bottom>
    </border>
    <border>
      <bottom style="thin">
        <color rgb="FF000000"/>
      </bottom>
    </border>
    <border>
      <left style="double">
        <color rgb="FF666666"/>
      </left>
      <right style="double">
        <color rgb="FF666666"/>
      </right>
      <top style="double">
        <color rgb="FF666666"/>
      </top>
      <bottom style="thin">
        <color rgb="FFCCCCCC"/>
      </bottom>
    </border>
    <border>
      <left style="thin">
        <color rgb="FFB7B7B7"/>
      </left>
      <right style="thin">
        <color rgb="FFB7B7B7"/>
      </right>
      <top style="double">
        <color rgb="FFB7B7B7"/>
      </top>
      <bottom style="thin">
        <color rgb="FFB7B7B7"/>
      </bottom>
    </border>
    <border>
      <left style="double">
        <color rgb="FF666666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B7B7B7"/>
      </left>
      <right style="double">
        <color rgb="FFB7B7B7"/>
      </right>
      <top style="double">
        <color rgb="FFB7B7B7"/>
      </top>
      <bottom style="thin">
        <color rgb="FFB7B7B7"/>
      </bottom>
    </border>
    <border>
      <left style="thin">
        <color rgb="FFCCCCCC"/>
      </left>
      <right style="double">
        <color rgb="FF666666"/>
      </right>
      <top style="thin">
        <color rgb="FFCCCCCC"/>
      </top>
      <bottom style="thin">
        <color rgb="FFCCCCCC"/>
      </bottom>
    </border>
    <border>
      <left style="double">
        <color rgb="FF666666"/>
      </left>
      <right style="double">
        <color rgb="FF666666"/>
      </right>
      <top style="thin">
        <color rgb="FFCCCCCC"/>
      </top>
      <bottom style="thin">
        <color rgb="FFCCCCCC"/>
      </bottom>
    </border>
    <border>
      <left style="double">
        <color rgb="FF666666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double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double">
        <color rgb="FFB7B7B7"/>
      </right>
      <bottom style="thin">
        <color rgb="FFB7B7B7"/>
      </bottom>
    </border>
    <border>
      <left style="thin">
        <color rgb="FFB7B7B7"/>
      </left>
      <right style="double">
        <color rgb="FFB7B7B7"/>
      </right>
      <top style="thin">
        <color rgb="FFB7B7B7"/>
      </top>
      <bottom style="thin">
        <color rgb="FFB7B7B7"/>
      </bottom>
    </border>
    <border>
      <left style="double">
        <color rgb="FF666666"/>
      </left>
      <right style="double">
        <color rgb="FF666666"/>
      </right>
      <top style="thin">
        <color rgb="FFCCCCCC"/>
      </top>
      <bottom style="double">
        <color rgb="FF666666"/>
      </bottom>
    </border>
    <border>
      <left style="double">
        <color rgb="FF666666"/>
      </left>
      <right style="thin">
        <color rgb="FFCCCCCC"/>
      </right>
      <top style="thin">
        <color rgb="FFCCCCCC"/>
      </top>
      <bottom style="double">
        <color rgb="FF666666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666666"/>
      </bottom>
    </border>
    <border>
      <left style="thin">
        <color rgb="FFCCCCCC"/>
      </left>
      <right style="double">
        <color rgb="FF666666"/>
      </right>
      <top style="thin">
        <color rgb="FFCCCCCC"/>
      </top>
      <bottom style="double">
        <color rgb="FF666666"/>
      </bottom>
    </border>
    <border>
      <left style="thin">
        <color rgb="FFCCCCCC"/>
      </left>
      <bottom style="thin">
        <color rgb="FFCCCCCC"/>
      </bottom>
    </border>
    <border>
      <left style="double">
        <color rgb="FFB7B7B7"/>
      </left>
      <right style="thin">
        <color rgb="FFB7B7B7"/>
      </right>
      <top style="thin">
        <color rgb="FFB7B7B7"/>
      </top>
      <bottom style="double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double">
        <color rgb="FFB7B7B7"/>
      </bottom>
    </border>
    <border>
      <left style="thin">
        <color rgb="FFB7B7B7"/>
      </left>
      <right style="double">
        <color rgb="FFB7B7B7"/>
      </right>
      <top style="thin">
        <color rgb="FFB7B7B7"/>
      </top>
      <bottom style="double">
        <color rgb="FFB7B7B7"/>
      </bottom>
    </border>
    <border>
      <left style="thin">
        <color rgb="FFB7B7B7"/>
      </left>
      <top style="double">
        <color rgb="FFB7B7B7"/>
      </top>
      <bottom style="thin">
        <color rgb="FFB7B7B7"/>
      </bottom>
    </border>
    <border>
      <right style="thin">
        <color rgb="FFB7B7B7"/>
      </right>
      <top style="double">
        <color rgb="FFB7B7B7"/>
      </top>
      <bottom style="thin">
        <color rgb="FFB7B7B7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B7B7B7"/>
      </left>
      <right style="thin">
        <color rgb="FFB7B7B7"/>
      </right>
      <top style="thin">
        <color rgb="FFB7B7B7"/>
      </top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2" fontId="4" numFmtId="0" xfId="0" applyAlignment="1" applyFill="1" applyFont="1">
      <alignment horizontal="center" vertical="bottom"/>
    </xf>
    <xf borderId="1" fillId="3" fontId="3" numFmtId="0" xfId="0" applyAlignment="1" applyBorder="1" applyFill="1" applyFont="1">
      <alignment horizontal="center" shrinkToFit="0" wrapText="1"/>
    </xf>
    <xf borderId="0" fillId="2" fontId="4" numFmtId="0" xfId="0" applyAlignment="1" applyFont="1">
      <alignment horizontal="center" shrinkToFit="0" vertical="bottom" wrapText="1"/>
    </xf>
    <xf borderId="2" fillId="0" fontId="5" numFmtId="0" xfId="0" applyBorder="1" applyFont="1"/>
    <xf borderId="0" fillId="2" fontId="1" numFmtId="0" xfId="0" applyAlignment="1" applyFont="1">
      <alignment vertical="bottom"/>
    </xf>
    <xf borderId="3" fillId="0" fontId="5" numFmtId="0" xfId="0" applyBorder="1" applyFont="1"/>
    <xf borderId="0" fillId="4" fontId="6" numFmtId="0" xfId="0" applyAlignment="1" applyFill="1" applyFont="1">
      <alignment readingOrder="0"/>
    </xf>
    <xf borderId="0" fillId="0" fontId="3" numFmtId="0" xfId="0" applyAlignment="1" applyFont="1">
      <alignment horizontal="center" vertical="bottom"/>
    </xf>
    <xf borderId="0" fillId="0" fontId="3" numFmtId="9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4" fillId="0" fontId="7" numFmtId="0" xfId="0" applyAlignment="1" applyBorder="1" applyFont="1">
      <alignment horizontal="center" shrinkToFit="0" wrapText="1"/>
    </xf>
    <xf borderId="0" fillId="0" fontId="3" numFmtId="165" xfId="0" applyAlignment="1" applyFont="1" applyNumberFormat="1">
      <alignment horizontal="center" vertical="bottom"/>
    </xf>
    <xf borderId="0" fillId="0" fontId="2" numFmtId="0" xfId="0" applyAlignment="1" applyFont="1">
      <alignment horizontal="right" readingOrder="0"/>
    </xf>
    <xf borderId="4" fillId="2" fontId="7" numFmtId="0" xfId="0" applyAlignment="1" applyBorder="1" applyFont="1">
      <alignment horizontal="center" shrinkToFit="0" wrapText="1"/>
    </xf>
    <xf borderId="0" fillId="0" fontId="1" numFmtId="0" xfId="0" applyAlignment="1" applyFont="1">
      <alignment vertical="bottom"/>
    </xf>
    <xf borderId="5" fillId="5" fontId="7" numFmtId="0" xfId="0" applyAlignment="1" applyBorder="1" applyFill="1" applyFont="1">
      <alignment horizontal="center" shrinkToFit="0" wrapText="1"/>
    </xf>
    <xf borderId="0" fillId="2" fontId="4" numFmtId="0" xfId="0" applyAlignment="1" applyFont="1">
      <alignment horizontal="center" readingOrder="0" vertical="bottom"/>
    </xf>
    <xf borderId="0" fillId="0" fontId="2" numFmtId="9" xfId="0" applyAlignment="1" applyFont="1" applyNumberFormat="1">
      <alignment readingOrder="0"/>
    </xf>
    <xf borderId="6" fillId="6" fontId="7" numFmtId="0" xfId="0" applyAlignment="1" applyBorder="1" applyFill="1" applyFont="1">
      <alignment horizontal="center" shrinkToFit="0" wrapText="1"/>
    </xf>
    <xf borderId="4" fillId="7" fontId="7" numFmtId="0" xfId="0" applyAlignment="1" applyBorder="1" applyFill="1" applyFont="1">
      <alignment horizontal="center" shrinkToFit="0" wrapText="1"/>
    </xf>
    <xf borderId="0" fillId="0" fontId="3" numFmtId="166" xfId="0" applyAlignment="1" applyFont="1" applyNumberFormat="1">
      <alignment horizontal="center" vertical="bottom"/>
    </xf>
    <xf borderId="1" fillId="0" fontId="3" numFmtId="9" xfId="0" applyAlignment="1" applyBorder="1" applyFont="1" applyNumberFormat="1">
      <alignment horizontal="center"/>
    </xf>
    <xf borderId="7" fillId="0" fontId="3" numFmtId="0" xfId="0" applyAlignment="1" applyBorder="1" applyFont="1">
      <alignment horizontal="center"/>
    </xf>
    <xf borderId="8" fillId="0" fontId="8" numFmtId="10" xfId="0" applyAlignment="1" applyBorder="1" applyFont="1" applyNumberFormat="1">
      <alignment horizontal="center"/>
    </xf>
    <xf borderId="9" fillId="0" fontId="2" numFmtId="0" xfId="0" applyAlignment="1" applyBorder="1" applyFont="1">
      <alignment readingOrder="0"/>
    </xf>
    <xf borderId="10" fillId="0" fontId="3" numFmtId="9" xfId="0" applyAlignment="1" applyBorder="1" applyFont="1" applyNumberFormat="1">
      <alignment horizontal="center" shrinkToFit="0" wrapText="1"/>
    </xf>
    <xf borderId="11" fillId="0" fontId="3" numFmtId="167" xfId="0" applyAlignment="1" applyBorder="1" applyFont="1" applyNumberFormat="1">
      <alignment horizontal="center"/>
    </xf>
    <xf borderId="12" fillId="2" fontId="3" numFmtId="9" xfId="0" applyAlignment="1" applyBorder="1" applyFont="1" applyNumberFormat="1">
      <alignment horizontal="center" shrinkToFit="0" wrapText="1"/>
    </xf>
    <xf borderId="13" fillId="5" fontId="3" numFmtId="10" xfId="0" applyAlignment="1" applyBorder="1" applyFont="1" applyNumberFormat="1">
      <alignment horizontal="center" shrinkToFit="0" wrapText="1"/>
    </xf>
    <xf borderId="0" fillId="8" fontId="3" numFmtId="0" xfId="0" applyAlignment="1" applyFill="1" applyFont="1">
      <alignment horizontal="center" vertical="bottom"/>
    </xf>
    <xf borderId="0" fillId="8" fontId="3" numFmtId="164" xfId="0" applyAlignment="1" applyFont="1" applyNumberFormat="1">
      <alignment horizontal="center" vertical="bottom"/>
    </xf>
    <xf borderId="0" fillId="8" fontId="3" numFmtId="166" xfId="0" applyAlignment="1" applyFont="1" applyNumberFormat="1">
      <alignment horizontal="center" vertical="bottom"/>
    </xf>
    <xf borderId="0" fillId="8" fontId="3" numFmtId="165" xfId="0" applyAlignment="1" applyFont="1" applyNumberFormat="1">
      <alignment horizontal="center" vertical="bottom"/>
    </xf>
    <xf borderId="14" fillId="0" fontId="3" numFmtId="168" xfId="0" applyAlignment="1" applyBorder="1" applyFont="1" applyNumberFormat="1">
      <alignment horizontal="center"/>
    </xf>
    <xf borderId="15" fillId="9" fontId="3" numFmtId="10" xfId="0" applyAlignment="1" applyBorder="1" applyFill="1" applyFont="1" applyNumberFormat="1">
      <alignment horizontal="center" shrinkToFit="0" wrapText="1"/>
    </xf>
    <xf borderId="0" fillId="0" fontId="9" numFmtId="166" xfId="0" applyAlignment="1" applyFont="1" applyNumberFormat="1">
      <alignment horizontal="center" vertical="bottom"/>
    </xf>
    <xf borderId="16" fillId="0" fontId="3" numFmtId="9" xfId="0" applyAlignment="1" applyBorder="1" applyFont="1" applyNumberFormat="1">
      <alignment horizontal="center" shrinkToFit="0" wrapText="1"/>
    </xf>
    <xf borderId="17" fillId="2" fontId="3" numFmtId="9" xfId="0" applyAlignment="1" applyBorder="1" applyFont="1" applyNumberFormat="1">
      <alignment horizontal="center" shrinkToFit="0" wrapText="1"/>
    </xf>
    <xf borderId="18" fillId="0" fontId="5" numFmtId="0" xfId="0" applyBorder="1" applyFont="1"/>
    <xf borderId="19" fillId="5" fontId="3" numFmtId="10" xfId="0" applyAlignment="1" applyBorder="1" applyFont="1" applyNumberFormat="1">
      <alignment horizontal="center" shrinkToFit="0" wrapText="1"/>
    </xf>
    <xf borderId="20" fillId="0" fontId="8" numFmtId="10" xfId="0" applyAlignment="1" applyBorder="1" applyFont="1" applyNumberFormat="1">
      <alignment horizontal="center"/>
    </xf>
    <xf borderId="0" fillId="0" fontId="1" numFmtId="166" xfId="0" applyAlignment="1" applyFont="1" applyNumberFormat="1">
      <alignment vertical="bottom"/>
    </xf>
    <xf borderId="21" fillId="0" fontId="3" numFmtId="167" xfId="0" applyAlignment="1" applyBorder="1" applyFont="1" applyNumberFormat="1">
      <alignment horizontal="center"/>
    </xf>
    <xf borderId="22" fillId="0" fontId="3" numFmtId="168" xfId="0" applyAlignment="1" applyBorder="1" applyFont="1" applyNumberFormat="1">
      <alignment horizontal="center"/>
    </xf>
    <xf borderId="23" fillId="0" fontId="3" numFmtId="168" xfId="0" applyAlignment="1" applyBorder="1" applyFont="1" applyNumberFormat="1">
      <alignment horizontal="center"/>
    </xf>
    <xf borderId="0" fillId="10" fontId="3" numFmtId="0" xfId="0" applyAlignment="1" applyFill="1" applyFont="1">
      <alignment horizontal="center" vertical="bottom"/>
    </xf>
    <xf borderId="0" fillId="10" fontId="3" numFmtId="164" xfId="0" applyAlignment="1" applyFont="1" applyNumberFormat="1">
      <alignment horizontal="center" vertical="bottom"/>
    </xf>
    <xf borderId="0" fillId="10" fontId="3" numFmtId="166" xfId="0" applyAlignment="1" applyFont="1" applyNumberFormat="1">
      <alignment horizontal="center" vertical="bottom"/>
    </xf>
    <xf borderId="0" fillId="10" fontId="3" numFmtId="165" xfId="0" applyAlignment="1" applyFont="1" applyNumberFormat="1">
      <alignment horizontal="center" vertical="bottom"/>
    </xf>
    <xf borderId="24" fillId="0" fontId="3" numFmtId="9" xfId="0" applyAlignment="1" applyBorder="1" applyFont="1" applyNumberFormat="1">
      <alignment horizontal="center" shrinkToFit="0" wrapText="1"/>
    </xf>
    <xf borderId="25" fillId="2" fontId="3" numFmtId="9" xfId="0" applyAlignment="1" applyBorder="1" applyFont="1" applyNumberFormat="1">
      <alignment horizontal="center" shrinkToFit="0" wrapText="1"/>
    </xf>
    <xf borderId="26" fillId="5" fontId="3" numFmtId="9" xfId="0" applyAlignment="1" applyBorder="1" applyFont="1" applyNumberFormat="1">
      <alignment horizontal="center" shrinkToFit="0" wrapText="1"/>
    </xf>
    <xf borderId="27" fillId="9" fontId="3" numFmtId="9" xfId="0" applyAlignment="1" applyBorder="1" applyFont="1" applyNumberFormat="1">
      <alignment horizontal="center" shrinkToFit="0" wrapText="1"/>
    </xf>
    <xf borderId="0" fillId="11" fontId="3" numFmtId="0" xfId="0" applyAlignment="1" applyFill="1" applyFont="1">
      <alignment horizontal="center" vertical="bottom"/>
    </xf>
    <xf borderId="0" fillId="11" fontId="3" numFmtId="164" xfId="0" applyAlignment="1" applyFont="1" applyNumberFormat="1">
      <alignment horizontal="center" vertical="bottom"/>
    </xf>
    <xf borderId="0" fillId="11" fontId="3" numFmtId="166" xfId="0" applyAlignment="1" applyFont="1" applyNumberFormat="1">
      <alignment horizontal="center" vertical="bottom"/>
    </xf>
    <xf borderId="0" fillId="11" fontId="3" numFmtId="165" xfId="0" applyAlignment="1" applyFont="1" applyNumberFormat="1">
      <alignment horizontal="center" vertical="bottom"/>
    </xf>
    <xf borderId="28" fillId="0" fontId="5" numFmtId="0" xfId="0" applyBorder="1" applyFont="1"/>
    <xf borderId="29" fillId="0" fontId="8" numFmtId="10" xfId="0" applyAlignment="1" applyBorder="1" applyFont="1" applyNumberFormat="1">
      <alignment horizontal="center"/>
    </xf>
    <xf borderId="30" fillId="0" fontId="3" numFmtId="167" xfId="0" applyAlignment="1" applyBorder="1" applyFont="1" applyNumberFormat="1">
      <alignment horizontal="center"/>
    </xf>
    <xf borderId="31" fillId="0" fontId="3" numFmtId="168" xfId="0" applyAlignment="1" applyBorder="1" applyFont="1" applyNumberFormat="1">
      <alignment horizontal="center"/>
    </xf>
    <xf borderId="29" fillId="0" fontId="1" numFmtId="10" xfId="0" applyBorder="1" applyFont="1" applyNumberFormat="1"/>
    <xf borderId="31" fillId="0" fontId="1" numFmtId="0" xfId="0" applyBorder="1" applyFont="1"/>
    <xf borderId="0" fillId="0" fontId="10" numFmtId="9" xfId="0" applyAlignment="1" applyFont="1" applyNumberFormat="1">
      <alignment horizontal="center" vertical="bottom"/>
    </xf>
    <xf borderId="32" fillId="0" fontId="3" numFmtId="167" xfId="0" applyAlignment="1" applyBorder="1" applyFont="1" applyNumberFormat="1">
      <alignment horizontal="center"/>
    </xf>
    <xf borderId="11" fillId="0" fontId="3" numFmtId="168" xfId="0" applyAlignment="1" applyBorder="1" applyFont="1" applyNumberFormat="1">
      <alignment horizontal="center"/>
    </xf>
    <xf borderId="33" fillId="0" fontId="8" numFmtId="10" xfId="0" applyAlignment="1" applyBorder="1" applyFont="1" applyNumberFormat="1">
      <alignment horizontal="center"/>
    </xf>
    <xf borderId="34" fillId="2" fontId="4" numFmtId="0" xfId="0" applyAlignment="1" applyBorder="1" applyFont="1">
      <alignment horizontal="center"/>
    </xf>
    <xf borderId="34" fillId="2" fontId="4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/>
    </xf>
    <xf borderId="21" fillId="0" fontId="3" numFmtId="0" xfId="0" applyAlignment="1" applyBorder="1" applyFont="1">
      <alignment horizontal="center" shrinkToFit="0" wrapText="1"/>
    </xf>
    <xf borderId="21" fillId="0" fontId="1" numFmtId="0" xfId="0" applyBorder="1" applyFont="1"/>
    <xf borderId="21" fillId="0" fontId="3" numFmtId="169" xfId="0" applyAlignment="1" applyBorder="1" applyFont="1" applyNumberFormat="1">
      <alignment horizontal="center" shrinkToFit="0" wrapText="1"/>
    </xf>
    <xf borderId="21" fillId="0" fontId="3" numFmtId="0" xfId="0" applyAlignment="1" applyBorder="1" applyFont="1">
      <alignment horizontal="center"/>
    </xf>
    <xf borderId="20" fillId="0" fontId="1" numFmtId="10" xfId="0" applyBorder="1" applyFont="1" applyNumberFormat="1"/>
    <xf borderId="23" fillId="0" fontId="1" numFmtId="168" xfId="0" applyBorder="1" applyFont="1" applyNumberFormat="1"/>
    <xf borderId="31" fillId="0" fontId="1" numFmtId="168" xfId="0" applyBorder="1" applyFont="1" applyNumberFormat="1"/>
    <xf borderId="35" fillId="0" fontId="3" numFmtId="0" xfId="0" applyAlignment="1" applyBorder="1" applyFont="1">
      <alignment horizontal="center" shrinkToFit="0" wrapText="1"/>
    </xf>
    <xf borderId="35" fillId="0" fontId="1" numFmtId="0" xfId="0" applyBorder="1" applyFont="1"/>
    <xf borderId="35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38"/>
    <col customWidth="1" min="2" max="2" width="35.0"/>
    <col customWidth="1" min="3" max="3" width="14.0"/>
    <col customWidth="1" min="4" max="4" width="10.5"/>
    <col customWidth="1" min="5" max="5" width="6.5"/>
    <col customWidth="1" min="6" max="6" width="10.0"/>
    <col customWidth="1" min="7" max="7" width="9.5"/>
    <col customWidth="1" min="8" max="9" width="10.0"/>
    <col customWidth="1" min="10" max="10" width="9.0"/>
    <col customWidth="1" min="11" max="11" width="9.88"/>
    <col customWidth="1" min="12" max="12" width="10.0"/>
    <col customWidth="1" min="13" max="13" width="3.63"/>
  </cols>
  <sheetData>
    <row r="1">
      <c r="B1" s="2" t="s">
        <v>2</v>
      </c>
    </row>
    <row r="3">
      <c r="B3" s="10" t="s">
        <v>10</v>
      </c>
      <c r="C3" s="10" t="s">
        <v>14</v>
      </c>
    </row>
    <row r="4">
      <c r="B4" s="2" t="s">
        <v>15</v>
      </c>
      <c r="C4" s="2" t="s">
        <v>16</v>
      </c>
    </row>
    <row r="5">
      <c r="B5" s="2" t="s">
        <v>18</v>
      </c>
      <c r="C5" s="2" t="s">
        <v>19</v>
      </c>
    </row>
    <row r="6">
      <c r="B6" s="2"/>
      <c r="C6" s="2">
        <v>750.0</v>
      </c>
    </row>
    <row r="7">
      <c r="B7" s="2"/>
      <c r="C7" s="2">
        <v>950.0</v>
      </c>
    </row>
    <row r="8">
      <c r="B8" s="2"/>
      <c r="C8" s="17" t="s">
        <v>23</v>
      </c>
    </row>
    <row r="9">
      <c r="B9" s="2"/>
      <c r="C9" s="2"/>
    </row>
    <row r="10">
      <c r="B10" s="2" t="s">
        <v>27</v>
      </c>
      <c r="C10" s="2" t="s">
        <v>28</v>
      </c>
    </row>
    <row r="11">
      <c r="C11" s="22">
        <v>0.25</v>
      </c>
    </row>
    <row r="12">
      <c r="C12" s="22">
        <v>0.3</v>
      </c>
    </row>
    <row r="13">
      <c r="C13" s="22">
        <v>0.35</v>
      </c>
    </row>
    <row r="14">
      <c r="C14" s="22">
        <v>0.5</v>
      </c>
    </row>
    <row r="20">
      <c r="A20" s="2" t="s">
        <v>32</v>
      </c>
      <c r="B20" s="2" t="s">
        <v>33</v>
      </c>
      <c r="C20" s="2" t="s">
        <v>25</v>
      </c>
    </row>
    <row r="21">
      <c r="C21" s="2" t="s">
        <v>34</v>
      </c>
    </row>
    <row r="22">
      <c r="B22" s="12"/>
      <c r="C22" s="2" t="s">
        <v>30</v>
      </c>
    </row>
    <row r="23">
      <c r="B23" s="12"/>
    </row>
    <row r="24">
      <c r="B24" s="3" t="s">
        <v>36</v>
      </c>
      <c r="C24" s="29">
        <v>6.0</v>
      </c>
    </row>
    <row r="25">
      <c r="B25" s="12"/>
    </row>
    <row r="26">
      <c r="B26" s="3" t="s">
        <v>38</v>
      </c>
      <c r="C26" s="2" t="s">
        <v>39</v>
      </c>
    </row>
    <row r="27">
      <c r="B27" s="12"/>
      <c r="C27" s="2" t="s">
        <v>40</v>
      </c>
    </row>
    <row r="28">
      <c r="B28" s="12"/>
    </row>
    <row r="29">
      <c r="A29" s="2" t="s">
        <v>42</v>
      </c>
      <c r="B29" s="3" t="s">
        <v>1</v>
      </c>
    </row>
    <row r="30">
      <c r="B30" s="12"/>
    </row>
    <row r="31">
      <c r="B31" s="12"/>
      <c r="C31" s="4" t="s">
        <v>21</v>
      </c>
      <c r="D31" s="4" t="s">
        <v>22</v>
      </c>
      <c r="E31" s="21" t="s">
        <v>25</v>
      </c>
      <c r="H31" s="21" t="s">
        <v>30</v>
      </c>
      <c r="K31" s="21" t="s">
        <v>31</v>
      </c>
    </row>
    <row r="32">
      <c r="B32" s="19"/>
      <c r="C32" s="26">
        <v>0.25</v>
      </c>
      <c r="D32" s="27">
        <v>12.0</v>
      </c>
      <c r="E32" s="28">
        <v>0.0</v>
      </c>
      <c r="F32" s="31">
        <v>0.0</v>
      </c>
      <c r="G32" s="38">
        <f t="shared" ref="G32:G33" si="1">$D$38/D32</f>
        <v>5</v>
      </c>
      <c r="H32" s="28">
        <v>0.0</v>
      </c>
      <c r="I32" s="31">
        <v>0.0</v>
      </c>
      <c r="J32" s="38">
        <f t="shared" ref="J32:J33" si="2">$D$38/D32</f>
        <v>5</v>
      </c>
      <c r="K32" s="28">
        <v>0.1399</v>
      </c>
      <c r="L32" s="31">
        <v>0.089782</v>
      </c>
      <c r="M32" s="38">
        <f t="shared" ref="M32:M37" si="3">$D$38*L32</f>
        <v>5.38692</v>
      </c>
    </row>
    <row r="33">
      <c r="B33" s="19"/>
      <c r="C33" s="43"/>
      <c r="D33" s="27">
        <v>18.0</v>
      </c>
      <c r="E33" s="45">
        <v>0.0</v>
      </c>
      <c r="F33" s="47">
        <v>0.0</v>
      </c>
      <c r="G33" s="48">
        <f t="shared" si="1"/>
        <v>3.333333333</v>
      </c>
      <c r="H33" s="45">
        <v>0.0</v>
      </c>
      <c r="I33" s="47">
        <v>0.0</v>
      </c>
      <c r="J33" s="48">
        <f t="shared" si="2"/>
        <v>3.333333333</v>
      </c>
      <c r="K33" s="45">
        <v>0.2499</v>
      </c>
      <c r="L33" s="47">
        <v>0.067187</v>
      </c>
      <c r="M33" s="49">
        <f t="shared" si="3"/>
        <v>4.03122</v>
      </c>
    </row>
    <row r="34">
      <c r="B34" s="19"/>
      <c r="C34" s="43"/>
      <c r="D34" s="27">
        <v>24.0</v>
      </c>
      <c r="E34" s="45">
        <v>0.0399</v>
      </c>
      <c r="F34" s="47">
        <v>0.04342</v>
      </c>
      <c r="G34" s="49">
        <f t="shared" ref="G34:G38" si="4">$D$38*F34</f>
        <v>2.6052</v>
      </c>
      <c r="H34" s="45">
        <v>0.0199</v>
      </c>
      <c r="I34" s="47">
        <v>0.042536</v>
      </c>
      <c r="J34" s="48">
        <f t="shared" ref="J34:J38" si="5">$D$38*I34</f>
        <v>2.55216</v>
      </c>
      <c r="K34" s="45">
        <v>0.3099</v>
      </c>
      <c r="L34" s="47">
        <v>0.056424</v>
      </c>
      <c r="M34" s="49">
        <f t="shared" si="3"/>
        <v>3.38544</v>
      </c>
    </row>
    <row r="35">
      <c r="B35" s="19"/>
      <c r="C35" s="43"/>
      <c r="D35" s="27">
        <v>30.0</v>
      </c>
      <c r="E35" s="45">
        <v>0.0699</v>
      </c>
      <c r="F35" s="47">
        <v>0.036427</v>
      </c>
      <c r="G35" s="49">
        <f t="shared" si="4"/>
        <v>2.18562</v>
      </c>
      <c r="H35" s="45">
        <v>0.0399</v>
      </c>
      <c r="I35" s="47">
        <v>0.035079</v>
      </c>
      <c r="J35" s="49">
        <f t="shared" si="5"/>
        <v>2.10474</v>
      </c>
      <c r="K35" s="45">
        <v>0.3399</v>
      </c>
      <c r="L35" s="47">
        <v>0.049921</v>
      </c>
      <c r="M35" s="49">
        <f t="shared" si="3"/>
        <v>2.99526</v>
      </c>
    </row>
    <row r="36">
      <c r="B36" s="19"/>
      <c r="C36" s="43"/>
      <c r="D36" s="27">
        <v>36.0</v>
      </c>
      <c r="E36" s="45">
        <v>0.0699</v>
      </c>
      <c r="F36" s="47">
        <v>0.030873</v>
      </c>
      <c r="G36" s="49">
        <f t="shared" si="4"/>
        <v>1.85238</v>
      </c>
      <c r="H36" s="45">
        <v>0.0399</v>
      </c>
      <c r="I36" s="47">
        <v>0.02952</v>
      </c>
      <c r="J36" s="49">
        <f t="shared" si="5"/>
        <v>1.7712</v>
      </c>
      <c r="K36" s="45">
        <v>0.3599</v>
      </c>
      <c r="L36" s="47">
        <v>0.045798</v>
      </c>
      <c r="M36" s="49">
        <f t="shared" si="3"/>
        <v>2.74788</v>
      </c>
    </row>
    <row r="37">
      <c r="B37" s="19"/>
      <c r="C37" s="43"/>
      <c r="D37" s="27">
        <v>48.0</v>
      </c>
      <c r="E37" s="45">
        <v>0.0999</v>
      </c>
      <c r="F37" s="47">
        <v>0.025358</v>
      </c>
      <c r="G37" s="49">
        <f t="shared" si="4"/>
        <v>1.52148</v>
      </c>
      <c r="H37" s="45">
        <v>0.0699</v>
      </c>
      <c r="I37" s="47">
        <v>0.023942</v>
      </c>
      <c r="J37" s="49">
        <f t="shared" si="5"/>
        <v>1.43652</v>
      </c>
      <c r="K37" s="45">
        <v>0.3999</v>
      </c>
      <c r="L37" s="47">
        <v>0.042041</v>
      </c>
      <c r="M37" s="49">
        <f t="shared" si="3"/>
        <v>2.52246</v>
      </c>
    </row>
    <row r="38">
      <c r="B38" s="19"/>
      <c r="C38" s="62"/>
      <c r="D38" s="27">
        <v>60.0</v>
      </c>
      <c r="E38" s="63">
        <v>0.1199</v>
      </c>
      <c r="F38" s="64">
        <v>0.022239</v>
      </c>
      <c r="G38" s="65">
        <f t="shared" si="4"/>
        <v>1.33434</v>
      </c>
      <c r="H38" s="63">
        <v>0.0899</v>
      </c>
      <c r="I38" s="64">
        <v>0.020754</v>
      </c>
      <c r="J38" s="65">
        <f t="shared" si="5"/>
        <v>1.24524</v>
      </c>
      <c r="K38" s="66"/>
      <c r="L38" s="64" t="s">
        <v>47</v>
      </c>
      <c r="M38" s="67"/>
    </row>
    <row r="39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</row>
    <row r="40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>
      <c r="B41" s="68"/>
      <c r="C41" s="4" t="s">
        <v>21</v>
      </c>
      <c r="D41" s="4" t="s">
        <v>22</v>
      </c>
      <c r="E41" s="21" t="s">
        <v>25</v>
      </c>
      <c r="H41" s="21" t="s">
        <v>30</v>
      </c>
      <c r="K41" s="21" t="s">
        <v>31</v>
      </c>
    </row>
    <row r="42">
      <c r="B42" s="19"/>
      <c r="C42" s="26">
        <v>0.3</v>
      </c>
      <c r="D42" s="27">
        <v>12.0</v>
      </c>
      <c r="E42" s="28">
        <v>0.0</v>
      </c>
      <c r="F42" s="69">
        <v>0.0</v>
      </c>
      <c r="G42" s="70">
        <f t="shared" ref="G42:G43" si="6">$D$38/D42</f>
        <v>5</v>
      </c>
      <c r="H42" s="71">
        <v>0.0</v>
      </c>
      <c r="I42" s="31">
        <v>0.0</v>
      </c>
      <c r="J42" s="70">
        <f t="shared" ref="J42:J44" si="7">$D$38/D42</f>
        <v>5</v>
      </c>
      <c r="K42" s="28">
        <v>0.1199</v>
      </c>
      <c r="L42" s="31">
        <v>0.088844</v>
      </c>
      <c r="M42" s="38">
        <f t="shared" ref="M42:M47" si="8">$D$38*L42</f>
        <v>5.33064</v>
      </c>
    </row>
    <row r="43">
      <c r="B43" s="19"/>
      <c r="C43" s="43"/>
      <c r="D43" s="27">
        <v>18.0</v>
      </c>
      <c r="E43" s="45">
        <v>0.0</v>
      </c>
      <c r="F43" s="47">
        <v>0.0</v>
      </c>
      <c r="G43" s="48">
        <f t="shared" si="6"/>
        <v>3.333333333</v>
      </c>
      <c r="H43" s="45">
        <v>0.0</v>
      </c>
      <c r="I43" s="47">
        <v>0.0</v>
      </c>
      <c r="J43" s="48">
        <f t="shared" si="7"/>
        <v>3.333333333</v>
      </c>
      <c r="K43" s="45">
        <v>0.2299</v>
      </c>
      <c r="L43" s="47">
        <v>0.06621</v>
      </c>
      <c r="M43" s="49">
        <f t="shared" si="8"/>
        <v>3.9726</v>
      </c>
    </row>
    <row r="44">
      <c r="B44" s="19"/>
      <c r="C44" s="43"/>
      <c r="D44" s="27">
        <v>24.0</v>
      </c>
      <c r="E44" s="45">
        <v>0.0299</v>
      </c>
      <c r="F44" s="47">
        <v>0.042977</v>
      </c>
      <c r="G44" s="49">
        <f t="shared" ref="G44:G48" si="9">$D$38*F44</f>
        <v>2.57862</v>
      </c>
      <c r="H44" s="45">
        <v>0.0</v>
      </c>
      <c r="I44" s="47">
        <v>0.0</v>
      </c>
      <c r="J44" s="49">
        <f t="shared" si="7"/>
        <v>2.5</v>
      </c>
      <c r="K44" s="45">
        <v>0.2899</v>
      </c>
      <c r="L44" s="47">
        <v>0.055394</v>
      </c>
      <c r="M44" s="49">
        <f t="shared" si="8"/>
        <v>3.32364</v>
      </c>
    </row>
    <row r="45">
      <c r="B45" s="19"/>
      <c r="C45" s="43"/>
      <c r="D45" s="27">
        <v>30.0</v>
      </c>
      <c r="E45" s="45">
        <v>0.0599</v>
      </c>
      <c r="F45" s="47">
        <v>0.035974</v>
      </c>
      <c r="G45" s="49">
        <f t="shared" si="9"/>
        <v>2.15844</v>
      </c>
      <c r="H45" s="45">
        <v>0.0299</v>
      </c>
      <c r="I45" s="47">
        <v>0.034636</v>
      </c>
      <c r="J45" s="49">
        <f t="shared" ref="J45:J48" si="10">$D$38*I45</f>
        <v>2.07816</v>
      </c>
      <c r="K45" s="45">
        <v>0.3299</v>
      </c>
      <c r="L45" s="47">
        <v>0.049379</v>
      </c>
      <c r="M45" s="49">
        <f t="shared" si="8"/>
        <v>2.96274</v>
      </c>
    </row>
    <row r="46">
      <c r="B46" s="19"/>
      <c r="C46" s="43"/>
      <c r="D46" s="27">
        <v>36.0</v>
      </c>
      <c r="E46" s="45">
        <v>0.0599</v>
      </c>
      <c r="F46" s="47">
        <v>0.030417</v>
      </c>
      <c r="G46" s="49">
        <f t="shared" si="9"/>
        <v>1.82502</v>
      </c>
      <c r="H46" s="45">
        <v>0.0299</v>
      </c>
      <c r="I46" s="47">
        <v>0.029077</v>
      </c>
      <c r="J46" s="49">
        <f t="shared" si="10"/>
        <v>1.74462</v>
      </c>
      <c r="K46" s="45">
        <v>0.3499</v>
      </c>
      <c r="L46" s="47">
        <v>0.04523</v>
      </c>
      <c r="M46" s="49">
        <f t="shared" si="8"/>
        <v>2.7138</v>
      </c>
    </row>
    <row r="47">
      <c r="B47" s="19"/>
      <c r="C47" s="43"/>
      <c r="D47" s="27">
        <v>48.0</v>
      </c>
      <c r="E47" s="45">
        <v>0.0899</v>
      </c>
      <c r="F47" s="47">
        <v>0.02488</v>
      </c>
      <c r="G47" s="49">
        <f t="shared" si="9"/>
        <v>1.4928</v>
      </c>
      <c r="H47" s="45">
        <v>0.0599</v>
      </c>
      <c r="I47" s="47">
        <v>0.02348</v>
      </c>
      <c r="J47" s="49">
        <f t="shared" si="10"/>
        <v>1.4088</v>
      </c>
      <c r="K47" s="45">
        <v>0.3799</v>
      </c>
      <c r="L47" s="47">
        <v>0.040798</v>
      </c>
      <c r="M47" s="49">
        <f t="shared" si="8"/>
        <v>2.44788</v>
      </c>
    </row>
    <row r="48">
      <c r="B48" s="19"/>
      <c r="C48" s="62"/>
      <c r="D48" s="27">
        <v>60.0</v>
      </c>
      <c r="E48" s="63">
        <v>0.1099</v>
      </c>
      <c r="F48" s="64">
        <v>0.021737</v>
      </c>
      <c r="G48" s="65">
        <f t="shared" si="9"/>
        <v>1.30422</v>
      </c>
      <c r="H48" s="63">
        <v>0.0799</v>
      </c>
      <c r="I48" s="64">
        <v>0.020272</v>
      </c>
      <c r="J48" s="65">
        <f t="shared" si="10"/>
        <v>1.21632</v>
      </c>
      <c r="K48" s="66"/>
      <c r="L48" s="64" t="s">
        <v>47</v>
      </c>
      <c r="M48" s="67"/>
    </row>
    <row r="49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</row>
    <row r="50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</row>
    <row r="51">
      <c r="B51" s="12"/>
      <c r="C51" s="4" t="s">
        <v>21</v>
      </c>
      <c r="D51" s="4" t="s">
        <v>22</v>
      </c>
      <c r="E51" s="21" t="s">
        <v>25</v>
      </c>
      <c r="H51" s="21" t="s">
        <v>30</v>
      </c>
      <c r="K51" s="21" t="s">
        <v>31</v>
      </c>
    </row>
    <row r="52">
      <c r="B52" s="19"/>
      <c r="C52" s="26">
        <v>0.35</v>
      </c>
      <c r="D52" s="27">
        <v>12.0</v>
      </c>
      <c r="E52" s="28">
        <v>0.0</v>
      </c>
      <c r="F52" s="31">
        <v>0.0</v>
      </c>
      <c r="G52" s="70">
        <f t="shared" ref="G52:G53" si="11">$D$38/D52</f>
        <v>5</v>
      </c>
      <c r="H52" s="28">
        <v>0.0</v>
      </c>
      <c r="I52" s="31">
        <v>0.0</v>
      </c>
      <c r="J52" s="70">
        <f t="shared" ref="J52:J54" si="12">$D$38/D52</f>
        <v>5</v>
      </c>
      <c r="K52" s="28">
        <v>0.0999</v>
      </c>
      <c r="L52" s="31">
        <v>0.087911</v>
      </c>
      <c r="M52" s="38">
        <f t="shared" ref="M52:M57" si="13">$D$38*L52</f>
        <v>5.27466</v>
      </c>
    </row>
    <row r="53">
      <c r="B53" s="19"/>
      <c r="C53" s="43"/>
      <c r="D53" s="27">
        <v>18.0</v>
      </c>
      <c r="E53" s="45">
        <v>0.0</v>
      </c>
      <c r="F53" s="47">
        <v>0.0</v>
      </c>
      <c r="G53" s="48">
        <f t="shared" si="11"/>
        <v>3.333333333</v>
      </c>
      <c r="H53" s="45">
        <v>0.0</v>
      </c>
      <c r="I53" s="47">
        <v>0.0</v>
      </c>
      <c r="J53" s="48">
        <f t="shared" si="12"/>
        <v>3.333333333</v>
      </c>
      <c r="K53" s="45">
        <v>0.2099</v>
      </c>
      <c r="L53" s="47">
        <v>0.06524</v>
      </c>
      <c r="M53" s="49">
        <f t="shared" si="13"/>
        <v>3.9144</v>
      </c>
    </row>
    <row r="54">
      <c r="B54" s="19"/>
      <c r="C54" s="43"/>
      <c r="D54" s="27">
        <v>24.0</v>
      </c>
      <c r="E54" s="45">
        <v>0.0199</v>
      </c>
      <c r="F54" s="47">
        <v>0.042536</v>
      </c>
      <c r="G54" s="49">
        <f t="shared" ref="G54:G58" si="14">$D$38*F54</f>
        <v>2.55216</v>
      </c>
      <c r="H54" s="45">
        <v>0.0</v>
      </c>
      <c r="I54" s="47">
        <v>0.0</v>
      </c>
      <c r="J54" s="48">
        <f t="shared" si="12"/>
        <v>2.5</v>
      </c>
      <c r="K54" s="45">
        <v>0.2699</v>
      </c>
      <c r="L54" s="47">
        <v>0.054375</v>
      </c>
      <c r="M54" s="49">
        <f t="shared" si="13"/>
        <v>3.2625</v>
      </c>
    </row>
    <row r="55">
      <c r="B55" s="19"/>
      <c r="C55" s="43"/>
      <c r="D55" s="27">
        <v>30.0</v>
      </c>
      <c r="E55" s="45">
        <v>0.0499</v>
      </c>
      <c r="F55" s="47">
        <v>0.035525</v>
      </c>
      <c r="G55" s="49">
        <f t="shared" si="14"/>
        <v>2.1315</v>
      </c>
      <c r="H55" s="45">
        <v>0.0199</v>
      </c>
      <c r="I55" s="47">
        <v>0.034197</v>
      </c>
      <c r="J55" s="49">
        <f t="shared" ref="J55:J58" si="15">$D$38*I55</f>
        <v>2.05182</v>
      </c>
      <c r="K55" s="45">
        <v>0.3099</v>
      </c>
      <c r="L55" s="47">
        <v>0.048305</v>
      </c>
      <c r="M55" s="49">
        <f t="shared" si="13"/>
        <v>2.8983</v>
      </c>
    </row>
    <row r="56">
      <c r="B56" s="19"/>
      <c r="C56" s="43"/>
      <c r="D56" s="27">
        <v>36.0</v>
      </c>
      <c r="E56" s="45">
        <v>0.0499</v>
      </c>
      <c r="F56" s="47">
        <v>0.029966</v>
      </c>
      <c r="G56" s="49">
        <f t="shared" si="14"/>
        <v>1.79796</v>
      </c>
      <c r="H56" s="45">
        <v>0.0199</v>
      </c>
      <c r="I56" s="47">
        <v>0.028638</v>
      </c>
      <c r="J56" s="49">
        <f t="shared" si="15"/>
        <v>1.71828</v>
      </c>
      <c r="K56" s="45">
        <v>0.3399</v>
      </c>
      <c r="L56" s="47">
        <v>0.044666</v>
      </c>
      <c r="M56" s="49">
        <f t="shared" si="13"/>
        <v>2.67996</v>
      </c>
    </row>
    <row r="57">
      <c r="B57" s="19"/>
      <c r="C57" s="43"/>
      <c r="D57" s="27">
        <v>48.0</v>
      </c>
      <c r="E57" s="45">
        <v>0.0799</v>
      </c>
      <c r="F57" s="47">
        <v>0.024408</v>
      </c>
      <c r="G57" s="49">
        <f t="shared" si="14"/>
        <v>1.46448</v>
      </c>
      <c r="H57" s="45">
        <v>0.0499</v>
      </c>
      <c r="I57" s="47">
        <v>0.023025</v>
      </c>
      <c r="J57" s="49">
        <f t="shared" si="15"/>
        <v>1.3815</v>
      </c>
      <c r="K57" s="45">
        <v>0.3699</v>
      </c>
      <c r="L57" s="47">
        <v>0.040182</v>
      </c>
      <c r="M57" s="49">
        <f t="shared" si="13"/>
        <v>2.41092</v>
      </c>
    </row>
    <row r="58">
      <c r="B58" s="19"/>
      <c r="C58" s="62"/>
      <c r="D58" s="27">
        <v>60.0</v>
      </c>
      <c r="E58" s="63">
        <v>0.0999</v>
      </c>
      <c r="F58" s="64">
        <v>0.021242</v>
      </c>
      <c r="G58" s="65">
        <f t="shared" si="14"/>
        <v>1.27452</v>
      </c>
      <c r="H58" s="63">
        <v>0.0699</v>
      </c>
      <c r="I58" s="64">
        <v>0.019796</v>
      </c>
      <c r="J58" s="65">
        <f t="shared" si="15"/>
        <v>1.18776</v>
      </c>
      <c r="K58" s="66"/>
      <c r="L58" s="64" t="s">
        <v>47</v>
      </c>
      <c r="M58" s="67"/>
    </row>
    <row r="59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</row>
    <row r="60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</row>
    <row r="61">
      <c r="B61" s="12"/>
      <c r="C61" s="4" t="s">
        <v>21</v>
      </c>
      <c r="D61" s="4" t="s">
        <v>22</v>
      </c>
      <c r="E61" s="21" t="s">
        <v>25</v>
      </c>
      <c r="H61" s="21" t="s">
        <v>30</v>
      </c>
      <c r="K61" s="21" t="s">
        <v>31</v>
      </c>
    </row>
    <row r="62">
      <c r="B62" s="19"/>
      <c r="C62" s="26">
        <v>0.5</v>
      </c>
      <c r="D62" s="27">
        <v>12.0</v>
      </c>
      <c r="E62" s="28">
        <v>0.0</v>
      </c>
      <c r="F62" s="31">
        <v>0.0</v>
      </c>
      <c r="G62" s="70">
        <f t="shared" ref="G62:G64" si="16">$D$38/D62</f>
        <v>5</v>
      </c>
      <c r="H62" s="28">
        <v>0.0</v>
      </c>
      <c r="I62" s="31">
        <v>0.0</v>
      </c>
      <c r="J62" s="70">
        <f t="shared" ref="J62:J66" si="17">$D$38/D62</f>
        <v>5</v>
      </c>
      <c r="K62" s="28">
        <v>0.0</v>
      </c>
      <c r="L62" s="31">
        <v>0.0</v>
      </c>
      <c r="M62" s="70">
        <f>$D$38/D62</f>
        <v>5</v>
      </c>
    </row>
    <row r="63">
      <c r="B63" s="19"/>
      <c r="C63" s="43"/>
      <c r="D63" s="27">
        <v>18.0</v>
      </c>
      <c r="E63" s="45">
        <v>0.0</v>
      </c>
      <c r="F63" s="47">
        <v>0.0</v>
      </c>
      <c r="G63" s="48">
        <f t="shared" si="16"/>
        <v>3.333333333</v>
      </c>
      <c r="H63" s="45">
        <v>0.0</v>
      </c>
      <c r="I63" s="47">
        <v>0.0</v>
      </c>
      <c r="J63" s="48">
        <f t="shared" si="17"/>
        <v>3.333333333</v>
      </c>
      <c r="K63" s="45">
        <v>0.1199</v>
      </c>
      <c r="L63" s="47">
        <v>0.060977</v>
      </c>
      <c r="M63" s="49">
        <f t="shared" ref="M63:M66" si="18">$D$38*L63</f>
        <v>3.65862</v>
      </c>
    </row>
    <row r="64">
      <c r="B64" s="19"/>
      <c r="C64" s="43"/>
      <c r="D64" s="27">
        <v>24.0</v>
      </c>
      <c r="E64" s="45">
        <v>0.0</v>
      </c>
      <c r="F64" s="47">
        <v>0.0</v>
      </c>
      <c r="G64" s="48">
        <f t="shared" si="16"/>
        <v>2.5</v>
      </c>
      <c r="H64" s="45">
        <v>0.0</v>
      </c>
      <c r="I64" s="47">
        <v>0.0</v>
      </c>
      <c r="J64" s="48">
        <f t="shared" si="17"/>
        <v>2.5</v>
      </c>
      <c r="K64" s="45">
        <v>0.1999</v>
      </c>
      <c r="L64" s="47">
        <v>0.050891</v>
      </c>
      <c r="M64" s="49">
        <f t="shared" si="18"/>
        <v>3.05346</v>
      </c>
    </row>
    <row r="65">
      <c r="B65" s="19"/>
      <c r="C65" s="43"/>
      <c r="D65" s="27">
        <v>30.0</v>
      </c>
      <c r="E65" s="45">
        <v>0.0199</v>
      </c>
      <c r="F65" s="47">
        <v>0.034197</v>
      </c>
      <c r="G65" s="49">
        <f t="shared" ref="G65:G66" si="19">$D$38*F65</f>
        <v>2.05182</v>
      </c>
      <c r="H65" s="45">
        <v>0.0</v>
      </c>
      <c r="I65" s="47">
        <v>0.0</v>
      </c>
      <c r="J65" s="48">
        <f t="shared" si="17"/>
        <v>2</v>
      </c>
      <c r="K65" s="45">
        <v>0.2499</v>
      </c>
      <c r="L65" s="47">
        <v>0.045158</v>
      </c>
      <c r="M65" s="49">
        <f t="shared" si="18"/>
        <v>2.70948</v>
      </c>
    </row>
    <row r="66">
      <c r="B66" s="19"/>
      <c r="C66" s="43"/>
      <c r="D66" s="27">
        <v>36.0</v>
      </c>
      <c r="E66" s="45">
        <v>0.0399</v>
      </c>
      <c r="F66" s="47">
        <v>0.02952</v>
      </c>
      <c r="G66" s="49">
        <f t="shared" si="19"/>
        <v>1.7712</v>
      </c>
      <c r="H66" s="45">
        <v>0.0</v>
      </c>
      <c r="I66" s="47">
        <v>0.0</v>
      </c>
      <c r="J66" s="48">
        <f t="shared" si="17"/>
        <v>1.666666667</v>
      </c>
      <c r="K66" s="45">
        <v>0.2799</v>
      </c>
      <c r="L66" s="47">
        <v>0.041358</v>
      </c>
      <c r="M66" s="49">
        <f t="shared" si="18"/>
        <v>2.48148</v>
      </c>
    </row>
    <row r="67">
      <c r="B67" s="19"/>
      <c r="C67" s="43"/>
      <c r="D67" s="27">
        <v>48.0</v>
      </c>
      <c r="E67" s="79"/>
      <c r="F67" s="47" t="s">
        <v>47</v>
      </c>
      <c r="G67" s="80"/>
      <c r="H67" s="79"/>
      <c r="I67" s="47" t="s">
        <v>47</v>
      </c>
      <c r="J67" s="80"/>
      <c r="K67" s="79"/>
      <c r="L67" s="47" t="s">
        <v>47</v>
      </c>
      <c r="M67" s="80"/>
    </row>
    <row r="68">
      <c r="B68" s="19"/>
      <c r="C68" s="62"/>
      <c r="D68" s="27">
        <v>60.0</v>
      </c>
      <c r="E68" s="66"/>
      <c r="F68" s="64" t="s">
        <v>47</v>
      </c>
      <c r="G68" s="81"/>
      <c r="H68" s="66"/>
      <c r="I68" s="64" t="s">
        <v>47</v>
      </c>
      <c r="J68" s="81"/>
      <c r="K68" s="66"/>
      <c r="L68" s="64" t="s">
        <v>47</v>
      </c>
      <c r="M68" s="67"/>
    </row>
    <row r="71">
      <c r="B71" s="2"/>
    </row>
    <row r="72">
      <c r="A72" s="2" t="s">
        <v>42</v>
      </c>
      <c r="B72" s="2" t="s">
        <v>80</v>
      </c>
    </row>
    <row r="73">
      <c r="B73" s="17" t="s">
        <v>81</v>
      </c>
      <c r="C73" s="29">
        <v>6.0</v>
      </c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 t="s">
        <v>82</v>
      </c>
    </row>
    <row r="100">
      <c r="C100" s="72" t="s">
        <v>48</v>
      </c>
      <c r="D100" s="72" t="s">
        <v>49</v>
      </c>
      <c r="E100" s="72" t="s">
        <v>50</v>
      </c>
      <c r="F100" s="72" t="s">
        <v>51</v>
      </c>
      <c r="G100" s="73" t="s">
        <v>52</v>
      </c>
      <c r="H100" s="72" t="s">
        <v>53</v>
      </c>
      <c r="I100" s="74" t="s">
        <v>54</v>
      </c>
      <c r="J100" s="7"/>
      <c r="K100" s="9"/>
    </row>
    <row r="101">
      <c r="C101" s="75" t="s">
        <v>55</v>
      </c>
      <c r="D101" s="76"/>
      <c r="E101" s="76"/>
      <c r="F101" s="75" t="s">
        <v>56</v>
      </c>
      <c r="G101" s="76"/>
      <c r="H101" s="75" t="s">
        <v>83</v>
      </c>
      <c r="I101" s="75" t="s">
        <v>58</v>
      </c>
      <c r="J101" s="75" t="s">
        <v>59</v>
      </c>
      <c r="K101" s="76"/>
    </row>
    <row r="102">
      <c r="C102" s="75" t="s">
        <v>60</v>
      </c>
      <c r="D102" s="77">
        <v>1508.0</v>
      </c>
      <c r="E102" s="77">
        <v>1508.0</v>
      </c>
      <c r="F102" s="76"/>
      <c r="G102" s="76"/>
      <c r="H102" s="75" t="s">
        <v>61</v>
      </c>
      <c r="I102" s="75" t="s">
        <v>62</v>
      </c>
      <c r="J102" s="75" t="s">
        <v>84</v>
      </c>
      <c r="K102" s="76"/>
    </row>
    <row r="103">
      <c r="C103" s="75" t="s">
        <v>64</v>
      </c>
      <c r="D103" s="76"/>
      <c r="E103" s="75" t="s">
        <v>65</v>
      </c>
      <c r="F103" s="76"/>
      <c r="G103" s="76"/>
      <c r="H103" s="76"/>
      <c r="I103" s="76"/>
      <c r="J103" s="76"/>
      <c r="K103" s="76"/>
    </row>
    <row r="104">
      <c r="C104" s="75" t="s">
        <v>66</v>
      </c>
      <c r="D104" s="77">
        <v>4000.0</v>
      </c>
      <c r="E104" s="76"/>
      <c r="F104" s="76"/>
      <c r="G104" s="76"/>
      <c r="H104" s="76"/>
      <c r="I104" s="75" t="s">
        <v>85</v>
      </c>
      <c r="J104" s="76"/>
      <c r="K104" s="76"/>
    </row>
    <row r="105">
      <c r="C105" s="75" t="s">
        <v>68</v>
      </c>
      <c r="D105" s="76"/>
      <c r="E105" s="75" t="s">
        <v>65</v>
      </c>
      <c r="F105" s="76"/>
      <c r="G105" s="76"/>
      <c r="H105" s="76"/>
      <c r="I105" s="76"/>
      <c r="J105" s="76"/>
      <c r="K105" s="76"/>
    </row>
    <row r="106">
      <c r="C106" s="75" t="s">
        <v>69</v>
      </c>
      <c r="D106" s="76"/>
      <c r="E106" s="76"/>
      <c r="F106" s="75">
        <v>399.0</v>
      </c>
      <c r="G106" s="76"/>
      <c r="H106" s="75" t="s">
        <v>70</v>
      </c>
      <c r="I106" s="75" t="s">
        <v>71</v>
      </c>
      <c r="J106" s="75" t="s">
        <v>86</v>
      </c>
      <c r="K106" s="75" t="s">
        <v>87</v>
      </c>
    </row>
    <row r="107">
      <c r="C107" s="75" t="s">
        <v>74</v>
      </c>
      <c r="D107" s="76"/>
      <c r="E107" s="76"/>
      <c r="F107" s="76"/>
      <c r="G107" s="76"/>
      <c r="H107" s="76"/>
      <c r="I107" s="76"/>
      <c r="J107" s="76"/>
      <c r="K107" s="76"/>
    </row>
    <row r="108">
      <c r="C108" s="82" t="s">
        <v>75</v>
      </c>
      <c r="D108" s="82" t="s">
        <v>56</v>
      </c>
      <c r="E108" s="82" t="s">
        <v>56</v>
      </c>
      <c r="F108" s="83"/>
      <c r="G108" s="83"/>
      <c r="H108" s="82" t="s">
        <v>76</v>
      </c>
      <c r="I108" s="82" t="s">
        <v>77</v>
      </c>
      <c r="J108" s="82" t="s">
        <v>78</v>
      </c>
      <c r="K108" s="84" t="s">
        <v>79</v>
      </c>
    </row>
    <row r="109">
      <c r="C109" s="82" t="s">
        <v>74</v>
      </c>
      <c r="D109" s="82" t="s">
        <v>56</v>
      </c>
      <c r="E109" s="82"/>
      <c r="F109" s="83"/>
      <c r="G109" s="83"/>
      <c r="H109" s="82"/>
      <c r="I109" s="82"/>
      <c r="J109" s="82"/>
      <c r="K109" s="84"/>
    </row>
  </sheetData>
  <mergeCells count="17">
    <mergeCell ref="E41:G41"/>
    <mergeCell ref="E51:G51"/>
    <mergeCell ref="C52:C58"/>
    <mergeCell ref="E61:G61"/>
    <mergeCell ref="C62:C68"/>
    <mergeCell ref="H51:J51"/>
    <mergeCell ref="K51:M51"/>
    <mergeCell ref="H61:J61"/>
    <mergeCell ref="K61:M61"/>
    <mergeCell ref="I100:K100"/>
    <mergeCell ref="E31:G31"/>
    <mergeCell ref="H31:J31"/>
    <mergeCell ref="K31:M31"/>
    <mergeCell ref="C32:C38"/>
    <mergeCell ref="H41:J41"/>
    <mergeCell ref="K41:M41"/>
    <mergeCell ref="C42:C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</row>
    <row r="2">
      <c r="A2" s="12"/>
    </row>
    <row r="3">
      <c r="A3" s="12"/>
      <c r="B3" s="4" t="s">
        <v>21</v>
      </c>
      <c r="C3" s="4" t="s">
        <v>22</v>
      </c>
      <c r="D3" s="21" t="s">
        <v>25</v>
      </c>
      <c r="G3" s="21" t="s">
        <v>30</v>
      </c>
      <c r="J3" s="21" t="s">
        <v>31</v>
      </c>
    </row>
    <row r="4">
      <c r="A4" s="19"/>
      <c r="B4" s="26">
        <v>0.25</v>
      </c>
      <c r="C4" s="27">
        <v>12.0</v>
      </c>
      <c r="D4" s="28">
        <v>0.0</v>
      </c>
      <c r="E4" s="31">
        <v>0.0</v>
      </c>
      <c r="F4" s="38">
        <f t="shared" ref="F4:F5" si="1">$D$38/C4</f>
        <v>0.003325</v>
      </c>
      <c r="G4" s="28">
        <v>0.0</v>
      </c>
      <c r="H4" s="31">
        <v>0.0</v>
      </c>
      <c r="I4" s="38">
        <f t="shared" ref="I4:I5" si="2">$D$38/C4</f>
        <v>0.003325</v>
      </c>
      <c r="J4" s="28">
        <v>0.1399</v>
      </c>
      <c r="K4" s="31">
        <v>0.089782</v>
      </c>
      <c r="L4" s="38">
        <f t="shared" ref="L4:L9" si="3">$D$38*K4</f>
        <v>0.0035823018</v>
      </c>
    </row>
    <row r="5">
      <c r="A5" s="19"/>
      <c r="B5" s="43"/>
      <c r="C5" s="27">
        <v>18.0</v>
      </c>
      <c r="D5" s="45">
        <v>0.0</v>
      </c>
      <c r="E5" s="47">
        <v>0.0</v>
      </c>
      <c r="F5" s="48">
        <f t="shared" si="1"/>
        <v>0.002216666667</v>
      </c>
      <c r="G5" s="45">
        <v>0.0</v>
      </c>
      <c r="H5" s="47">
        <v>0.0</v>
      </c>
      <c r="I5" s="48">
        <f t="shared" si="2"/>
        <v>0.002216666667</v>
      </c>
      <c r="J5" s="45">
        <v>0.2499</v>
      </c>
      <c r="K5" s="47">
        <v>0.067187</v>
      </c>
      <c r="L5" s="49">
        <f t="shared" si="3"/>
        <v>0.0026807613</v>
      </c>
    </row>
    <row r="6">
      <c r="A6" s="19"/>
      <c r="B6" s="43"/>
      <c r="C6" s="27">
        <v>24.0</v>
      </c>
      <c r="D6" s="45">
        <v>0.0399</v>
      </c>
      <c r="E6" s="47">
        <v>0.04342</v>
      </c>
      <c r="F6" s="49">
        <f t="shared" ref="F6:F10" si="4">$D$38*E6</f>
        <v>0.001732458</v>
      </c>
      <c r="G6" s="45">
        <v>0.0199</v>
      </c>
      <c r="H6" s="47">
        <v>0.042536</v>
      </c>
      <c r="I6" s="48">
        <f t="shared" ref="I6:I10" si="5">$D$38*H6</f>
        <v>0.0016971864</v>
      </c>
      <c r="J6" s="45">
        <v>0.3099</v>
      </c>
      <c r="K6" s="47">
        <v>0.056424</v>
      </c>
      <c r="L6" s="49">
        <f t="shared" si="3"/>
        <v>0.0022513176</v>
      </c>
    </row>
    <row r="7">
      <c r="A7" s="19"/>
      <c r="B7" s="43"/>
      <c r="C7" s="27">
        <v>30.0</v>
      </c>
      <c r="D7" s="45">
        <v>0.0699</v>
      </c>
      <c r="E7" s="47">
        <v>0.036427</v>
      </c>
      <c r="F7" s="49">
        <f t="shared" si="4"/>
        <v>0.0014534373</v>
      </c>
      <c r="G7" s="45">
        <v>0.0399</v>
      </c>
      <c r="H7" s="47">
        <v>0.035079</v>
      </c>
      <c r="I7" s="49">
        <f t="shared" si="5"/>
        <v>0.0013996521</v>
      </c>
      <c r="J7" s="45">
        <v>0.3399</v>
      </c>
      <c r="K7" s="47">
        <v>0.049921</v>
      </c>
      <c r="L7" s="49">
        <f t="shared" si="3"/>
        <v>0.0019918479</v>
      </c>
    </row>
    <row r="8">
      <c r="A8" s="19"/>
      <c r="B8" s="43"/>
      <c r="C8" s="27">
        <v>36.0</v>
      </c>
      <c r="D8" s="45">
        <v>0.0699</v>
      </c>
      <c r="E8" s="47">
        <v>0.030873</v>
      </c>
      <c r="F8" s="49">
        <f t="shared" si="4"/>
        <v>0.0012318327</v>
      </c>
      <c r="G8" s="45">
        <v>0.0399</v>
      </c>
      <c r="H8" s="47">
        <v>0.02952</v>
      </c>
      <c r="I8" s="49">
        <f t="shared" si="5"/>
        <v>0.001177848</v>
      </c>
      <c r="J8" s="45">
        <v>0.3599</v>
      </c>
      <c r="K8" s="47">
        <v>0.045798</v>
      </c>
      <c r="L8" s="49">
        <f t="shared" si="3"/>
        <v>0.0018273402</v>
      </c>
    </row>
    <row r="9">
      <c r="A9" s="19"/>
      <c r="B9" s="43"/>
      <c r="C9" s="27">
        <v>48.0</v>
      </c>
      <c r="D9" s="45">
        <v>0.0999</v>
      </c>
      <c r="E9" s="47">
        <v>0.025358</v>
      </c>
      <c r="F9" s="49">
        <f t="shared" si="4"/>
        <v>0.0010117842</v>
      </c>
      <c r="G9" s="45">
        <v>0.0699</v>
      </c>
      <c r="H9" s="47">
        <v>0.023942</v>
      </c>
      <c r="I9" s="49">
        <f t="shared" si="5"/>
        <v>0.0009552858</v>
      </c>
      <c r="J9" s="45">
        <v>0.3999</v>
      </c>
      <c r="K9" s="47">
        <v>0.042041</v>
      </c>
      <c r="L9" s="49">
        <f t="shared" si="3"/>
        <v>0.0016774359</v>
      </c>
    </row>
    <row r="10">
      <c r="A10" s="19"/>
      <c r="B10" s="62"/>
      <c r="C10" s="27">
        <v>60.0</v>
      </c>
      <c r="D10" s="63">
        <v>0.1199</v>
      </c>
      <c r="E10" s="64">
        <v>0.022239</v>
      </c>
      <c r="F10" s="65">
        <f t="shared" si="4"/>
        <v>0.0008873361</v>
      </c>
      <c r="G10" s="63">
        <v>0.0899</v>
      </c>
      <c r="H10" s="64">
        <v>0.020754</v>
      </c>
      <c r="I10" s="65">
        <f t="shared" si="5"/>
        <v>0.0008280846</v>
      </c>
      <c r="J10" s="66"/>
      <c r="K10" s="64" t="s">
        <v>47</v>
      </c>
      <c r="L10" s="67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>
      <c r="A13" s="68"/>
      <c r="B13" s="4" t="s">
        <v>21</v>
      </c>
      <c r="C13" s="4" t="s">
        <v>22</v>
      </c>
      <c r="D13" s="21" t="s">
        <v>25</v>
      </c>
      <c r="G13" s="21" t="s">
        <v>30</v>
      </c>
      <c r="J13" s="21" t="s">
        <v>31</v>
      </c>
    </row>
    <row r="14">
      <c r="A14" s="19"/>
      <c r="B14" s="26">
        <v>0.3</v>
      </c>
      <c r="C14" s="27">
        <v>12.0</v>
      </c>
      <c r="D14" s="28">
        <v>0.0</v>
      </c>
      <c r="E14" s="69">
        <v>0.0</v>
      </c>
      <c r="F14" s="70">
        <f t="shared" ref="F14:F15" si="6">$D$38/C14</f>
        <v>0.003325</v>
      </c>
      <c r="G14" s="71">
        <v>0.0</v>
      </c>
      <c r="H14" s="31">
        <v>0.0</v>
      </c>
      <c r="I14" s="70">
        <f t="shared" ref="I14:I16" si="7">$D$38/C14</f>
        <v>0.003325</v>
      </c>
      <c r="J14" s="28">
        <v>0.1199</v>
      </c>
      <c r="K14" s="31">
        <v>0.088844</v>
      </c>
      <c r="L14" s="38">
        <f t="shared" ref="L14:L19" si="8">$D$38*K14</f>
        <v>0.0035448756</v>
      </c>
    </row>
    <row r="15">
      <c r="A15" s="19"/>
      <c r="B15" s="43"/>
      <c r="C15" s="27">
        <v>18.0</v>
      </c>
      <c r="D15" s="45">
        <v>0.0</v>
      </c>
      <c r="E15" s="47">
        <v>0.0</v>
      </c>
      <c r="F15" s="48">
        <f t="shared" si="6"/>
        <v>0.002216666667</v>
      </c>
      <c r="G15" s="45">
        <v>0.0</v>
      </c>
      <c r="H15" s="47">
        <v>0.0</v>
      </c>
      <c r="I15" s="48">
        <f t="shared" si="7"/>
        <v>0.002216666667</v>
      </c>
      <c r="J15" s="45">
        <v>0.2299</v>
      </c>
      <c r="K15" s="47">
        <v>0.06621</v>
      </c>
      <c r="L15" s="49">
        <f t="shared" si="8"/>
        <v>0.002641779</v>
      </c>
    </row>
    <row r="16">
      <c r="A16" s="19"/>
      <c r="B16" s="43"/>
      <c r="C16" s="27">
        <v>24.0</v>
      </c>
      <c r="D16" s="45">
        <v>0.0299</v>
      </c>
      <c r="E16" s="47">
        <v>0.042977</v>
      </c>
      <c r="F16" s="49">
        <f t="shared" ref="F16:F20" si="9">$D$38*E16</f>
        <v>0.0017147823</v>
      </c>
      <c r="G16" s="45">
        <v>0.0</v>
      </c>
      <c r="H16" s="47">
        <v>0.0</v>
      </c>
      <c r="I16" s="49">
        <f t="shared" si="7"/>
        <v>0.0016625</v>
      </c>
      <c r="J16" s="45">
        <v>0.2899</v>
      </c>
      <c r="K16" s="47">
        <v>0.055394</v>
      </c>
      <c r="L16" s="49">
        <f t="shared" si="8"/>
        <v>0.0022102206</v>
      </c>
    </row>
    <row r="17">
      <c r="A17" s="19"/>
      <c r="B17" s="43"/>
      <c r="C17" s="27">
        <v>30.0</v>
      </c>
      <c r="D17" s="45">
        <v>0.0599</v>
      </c>
      <c r="E17" s="47">
        <v>0.035974</v>
      </c>
      <c r="F17" s="49">
        <f t="shared" si="9"/>
        <v>0.0014353626</v>
      </c>
      <c r="G17" s="45">
        <v>0.0299</v>
      </c>
      <c r="H17" s="47">
        <v>0.034636</v>
      </c>
      <c r="I17" s="49">
        <f t="shared" ref="I17:I20" si="10">$D$38*H17</f>
        <v>0.0013819764</v>
      </c>
      <c r="J17" s="45">
        <v>0.3299</v>
      </c>
      <c r="K17" s="47">
        <v>0.049379</v>
      </c>
      <c r="L17" s="49">
        <f t="shared" si="8"/>
        <v>0.0019702221</v>
      </c>
    </row>
    <row r="18">
      <c r="A18" s="19"/>
      <c r="B18" s="43"/>
      <c r="C18" s="27">
        <v>36.0</v>
      </c>
      <c r="D18" s="45">
        <v>0.0599</v>
      </c>
      <c r="E18" s="47">
        <v>0.030417</v>
      </c>
      <c r="F18" s="49">
        <f t="shared" si="9"/>
        <v>0.0012136383</v>
      </c>
      <c r="G18" s="45">
        <v>0.0299</v>
      </c>
      <c r="H18" s="47">
        <v>0.029077</v>
      </c>
      <c r="I18" s="49">
        <f t="shared" si="10"/>
        <v>0.0011601723</v>
      </c>
      <c r="J18" s="45">
        <v>0.3499</v>
      </c>
      <c r="K18" s="47">
        <v>0.04523</v>
      </c>
      <c r="L18" s="49">
        <f t="shared" si="8"/>
        <v>0.001804677</v>
      </c>
    </row>
    <row r="19">
      <c r="A19" s="19"/>
      <c r="B19" s="43"/>
      <c r="C19" s="27">
        <v>48.0</v>
      </c>
      <c r="D19" s="45">
        <v>0.0899</v>
      </c>
      <c r="E19" s="47">
        <v>0.02488</v>
      </c>
      <c r="F19" s="49">
        <f t="shared" si="9"/>
        <v>0.000992712</v>
      </c>
      <c r="G19" s="45">
        <v>0.0599</v>
      </c>
      <c r="H19" s="47">
        <v>0.02348</v>
      </c>
      <c r="I19" s="49">
        <f t="shared" si="10"/>
        <v>0.000936852</v>
      </c>
      <c r="J19" s="45">
        <v>0.3799</v>
      </c>
      <c r="K19" s="47">
        <v>0.040798</v>
      </c>
      <c r="L19" s="49">
        <f t="shared" si="8"/>
        <v>0.0016278402</v>
      </c>
    </row>
    <row r="20">
      <c r="A20" s="19"/>
      <c r="B20" s="62"/>
      <c r="C20" s="27">
        <v>60.0</v>
      </c>
      <c r="D20" s="63">
        <v>0.1099</v>
      </c>
      <c r="E20" s="64">
        <v>0.021737</v>
      </c>
      <c r="F20" s="65">
        <f t="shared" si="9"/>
        <v>0.0008673063</v>
      </c>
      <c r="G20" s="63">
        <v>0.0799</v>
      </c>
      <c r="H20" s="64">
        <v>0.020272</v>
      </c>
      <c r="I20" s="65">
        <f t="shared" si="10"/>
        <v>0.0008088528</v>
      </c>
      <c r="J20" s="66"/>
      <c r="K20" s="64" t="s">
        <v>47</v>
      </c>
      <c r="L20" s="67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>
      <c r="A23" s="12"/>
      <c r="B23" s="4" t="s">
        <v>21</v>
      </c>
      <c r="C23" s="4" t="s">
        <v>22</v>
      </c>
      <c r="D23" s="21" t="s">
        <v>25</v>
      </c>
      <c r="G23" s="21" t="s">
        <v>30</v>
      </c>
      <c r="J23" s="21" t="s">
        <v>31</v>
      </c>
    </row>
    <row r="24">
      <c r="A24" s="19"/>
      <c r="B24" s="26">
        <v>0.35</v>
      </c>
      <c r="C24" s="27">
        <v>12.0</v>
      </c>
      <c r="D24" s="28">
        <v>0.0</v>
      </c>
      <c r="E24" s="31">
        <v>0.0</v>
      </c>
      <c r="F24" s="70">
        <f t="shared" ref="F24:F25" si="11">$D$38/C24</f>
        <v>0.003325</v>
      </c>
      <c r="G24" s="28">
        <v>0.0</v>
      </c>
      <c r="H24" s="31">
        <v>0.0</v>
      </c>
      <c r="I24" s="70">
        <f t="shared" ref="I24:I26" si="12">$D$38/C24</f>
        <v>0.003325</v>
      </c>
      <c r="J24" s="28">
        <v>0.0999</v>
      </c>
      <c r="K24" s="31">
        <v>0.087911</v>
      </c>
      <c r="L24" s="38">
        <f t="shared" ref="L24:L29" si="13">$D$38*K24</f>
        <v>0.0035076489</v>
      </c>
    </row>
    <row r="25">
      <c r="A25" s="19"/>
      <c r="B25" s="43"/>
      <c r="C25" s="27">
        <v>18.0</v>
      </c>
      <c r="D25" s="45">
        <v>0.0</v>
      </c>
      <c r="E25" s="47">
        <v>0.0</v>
      </c>
      <c r="F25" s="48">
        <f t="shared" si="11"/>
        <v>0.002216666667</v>
      </c>
      <c r="G25" s="45">
        <v>0.0</v>
      </c>
      <c r="H25" s="47">
        <v>0.0</v>
      </c>
      <c r="I25" s="48">
        <f t="shared" si="12"/>
        <v>0.002216666667</v>
      </c>
      <c r="J25" s="45">
        <v>0.2099</v>
      </c>
      <c r="K25" s="47">
        <v>0.06524</v>
      </c>
      <c r="L25" s="49">
        <f t="shared" si="13"/>
        <v>0.002603076</v>
      </c>
    </row>
    <row r="26">
      <c r="A26" s="19"/>
      <c r="B26" s="43"/>
      <c r="C26" s="27">
        <v>24.0</v>
      </c>
      <c r="D26" s="45">
        <v>0.0199</v>
      </c>
      <c r="E26" s="47">
        <v>0.042536</v>
      </c>
      <c r="F26" s="49">
        <f t="shared" ref="F26:F30" si="14">$D$38*E26</f>
        <v>0.0016971864</v>
      </c>
      <c r="G26" s="45">
        <v>0.0</v>
      </c>
      <c r="H26" s="47">
        <v>0.0</v>
      </c>
      <c r="I26" s="48">
        <f t="shared" si="12"/>
        <v>0.0016625</v>
      </c>
      <c r="J26" s="45">
        <v>0.2699</v>
      </c>
      <c r="K26" s="47">
        <v>0.054375</v>
      </c>
      <c r="L26" s="49">
        <f t="shared" si="13"/>
        <v>0.0021695625</v>
      </c>
    </row>
    <row r="27">
      <c r="A27" s="19"/>
      <c r="B27" s="43"/>
      <c r="C27" s="27">
        <v>30.0</v>
      </c>
      <c r="D27" s="45">
        <v>0.0499</v>
      </c>
      <c r="E27" s="47">
        <v>0.035525</v>
      </c>
      <c r="F27" s="49">
        <f t="shared" si="14"/>
        <v>0.0014174475</v>
      </c>
      <c r="G27" s="45">
        <v>0.0199</v>
      </c>
      <c r="H27" s="47">
        <v>0.034197</v>
      </c>
      <c r="I27" s="49">
        <f t="shared" ref="I27:I30" si="15">$D$38*H27</f>
        <v>0.0013644603</v>
      </c>
      <c r="J27" s="45">
        <v>0.3099</v>
      </c>
      <c r="K27" s="47">
        <v>0.048305</v>
      </c>
      <c r="L27" s="49">
        <f t="shared" si="13"/>
        <v>0.0019273695</v>
      </c>
    </row>
    <row r="28">
      <c r="A28" s="19"/>
      <c r="B28" s="43"/>
      <c r="C28" s="27">
        <v>36.0</v>
      </c>
      <c r="D28" s="45">
        <v>0.0499</v>
      </c>
      <c r="E28" s="47">
        <v>0.029966</v>
      </c>
      <c r="F28" s="49">
        <f t="shared" si="14"/>
        <v>0.0011956434</v>
      </c>
      <c r="G28" s="45">
        <v>0.0199</v>
      </c>
      <c r="H28" s="47">
        <v>0.028638</v>
      </c>
      <c r="I28" s="49">
        <f t="shared" si="15"/>
        <v>0.0011426562</v>
      </c>
      <c r="J28" s="45">
        <v>0.3399</v>
      </c>
      <c r="K28" s="47">
        <v>0.044666</v>
      </c>
      <c r="L28" s="49">
        <f t="shared" si="13"/>
        <v>0.0017821734</v>
      </c>
    </row>
    <row r="29">
      <c r="A29" s="19"/>
      <c r="B29" s="43"/>
      <c r="C29" s="27">
        <v>48.0</v>
      </c>
      <c r="D29" s="45">
        <v>0.0799</v>
      </c>
      <c r="E29" s="47">
        <v>0.024408</v>
      </c>
      <c r="F29" s="49">
        <f t="shared" si="14"/>
        <v>0.0009738792</v>
      </c>
      <c r="G29" s="45">
        <v>0.0499</v>
      </c>
      <c r="H29" s="47">
        <v>0.023025</v>
      </c>
      <c r="I29" s="49">
        <f t="shared" si="15"/>
        <v>0.0009186975</v>
      </c>
      <c r="J29" s="45">
        <v>0.3699</v>
      </c>
      <c r="K29" s="47">
        <v>0.040182</v>
      </c>
      <c r="L29" s="49">
        <f t="shared" si="13"/>
        <v>0.0016032618</v>
      </c>
    </row>
    <row r="30">
      <c r="A30" s="19"/>
      <c r="B30" s="62"/>
      <c r="C30" s="27">
        <v>60.0</v>
      </c>
      <c r="D30" s="63">
        <v>0.0999</v>
      </c>
      <c r="E30" s="64">
        <v>0.021242</v>
      </c>
      <c r="F30" s="65">
        <f t="shared" si="14"/>
        <v>0.0008475558</v>
      </c>
      <c r="G30" s="63">
        <v>0.0699</v>
      </c>
      <c r="H30" s="64">
        <v>0.019796</v>
      </c>
      <c r="I30" s="65">
        <f t="shared" si="15"/>
        <v>0.0007898604</v>
      </c>
      <c r="J30" s="66"/>
      <c r="K30" s="64" t="s">
        <v>47</v>
      </c>
      <c r="L30" s="67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>
      <c r="A33" s="12"/>
      <c r="B33" s="4" t="s">
        <v>21</v>
      </c>
      <c r="C33" s="4" t="s">
        <v>22</v>
      </c>
      <c r="D33" s="21" t="s">
        <v>25</v>
      </c>
      <c r="G33" s="21" t="s">
        <v>30</v>
      </c>
      <c r="J33" s="21" t="s">
        <v>31</v>
      </c>
    </row>
    <row r="34">
      <c r="A34" s="19"/>
      <c r="B34" s="26">
        <v>0.5</v>
      </c>
      <c r="C34" s="27">
        <v>12.0</v>
      </c>
      <c r="D34" s="28">
        <v>0.0</v>
      </c>
      <c r="E34" s="31">
        <v>0.0</v>
      </c>
      <c r="F34" s="70">
        <f t="shared" ref="F34:F36" si="16">$D$38/C34</f>
        <v>0.003325</v>
      </c>
      <c r="G34" s="28">
        <v>0.0</v>
      </c>
      <c r="H34" s="31">
        <v>0.0</v>
      </c>
      <c r="I34" s="70">
        <f t="shared" ref="I34:I38" si="17">$D$38/C34</f>
        <v>0.003325</v>
      </c>
      <c r="J34" s="28">
        <v>0.0</v>
      </c>
      <c r="K34" s="31">
        <v>0.0</v>
      </c>
      <c r="L34" s="70">
        <f>$D$38/C34</f>
        <v>0.003325</v>
      </c>
    </row>
    <row r="35">
      <c r="A35" s="19"/>
      <c r="B35" s="43"/>
      <c r="C35" s="27">
        <v>18.0</v>
      </c>
      <c r="D35" s="45">
        <v>0.0</v>
      </c>
      <c r="E35" s="47">
        <v>0.0</v>
      </c>
      <c r="F35" s="48">
        <f t="shared" si="16"/>
        <v>0.002216666667</v>
      </c>
      <c r="G35" s="45">
        <v>0.0</v>
      </c>
      <c r="H35" s="47">
        <v>0.0</v>
      </c>
      <c r="I35" s="48">
        <f t="shared" si="17"/>
        <v>0.002216666667</v>
      </c>
      <c r="J35" s="45">
        <v>0.1199</v>
      </c>
      <c r="K35" s="47">
        <v>0.060977</v>
      </c>
      <c r="L35" s="49">
        <f t="shared" ref="L35:L38" si="18">$D$38*K35</f>
        <v>0.0024329823</v>
      </c>
    </row>
    <row r="36">
      <c r="A36" s="19"/>
      <c r="B36" s="43"/>
      <c r="C36" s="27">
        <v>24.0</v>
      </c>
      <c r="D36" s="45">
        <v>0.0</v>
      </c>
      <c r="E36" s="47">
        <v>0.0</v>
      </c>
      <c r="F36" s="48">
        <f t="shared" si="16"/>
        <v>0.0016625</v>
      </c>
      <c r="G36" s="45">
        <v>0.0</v>
      </c>
      <c r="H36" s="47">
        <v>0.0</v>
      </c>
      <c r="I36" s="48">
        <f t="shared" si="17"/>
        <v>0.0016625</v>
      </c>
      <c r="J36" s="45">
        <v>0.1999</v>
      </c>
      <c r="K36" s="47">
        <v>0.050891</v>
      </c>
      <c r="L36" s="49">
        <f t="shared" si="18"/>
        <v>0.0020305509</v>
      </c>
    </row>
    <row r="37">
      <c r="A37" s="19"/>
      <c r="B37" s="43"/>
      <c r="C37" s="27">
        <v>30.0</v>
      </c>
      <c r="D37" s="45">
        <v>0.0199</v>
      </c>
      <c r="E37" s="47">
        <v>0.034197</v>
      </c>
      <c r="F37" s="49">
        <f t="shared" ref="F37:F38" si="19">$D$38*E37</f>
        <v>0.0013644603</v>
      </c>
      <c r="G37" s="45">
        <v>0.0</v>
      </c>
      <c r="H37" s="47">
        <v>0.0</v>
      </c>
      <c r="I37" s="48">
        <f t="shared" si="17"/>
        <v>0.00133</v>
      </c>
      <c r="J37" s="45">
        <v>0.2499</v>
      </c>
      <c r="K37" s="47">
        <v>0.045158</v>
      </c>
      <c r="L37" s="49">
        <f t="shared" si="18"/>
        <v>0.0018018042</v>
      </c>
    </row>
    <row r="38">
      <c r="A38" s="19"/>
      <c r="B38" s="43"/>
      <c r="C38" s="27">
        <v>36.0</v>
      </c>
      <c r="D38" s="45">
        <v>0.0399</v>
      </c>
      <c r="E38" s="47">
        <v>0.02952</v>
      </c>
      <c r="F38" s="49">
        <f t="shared" si="19"/>
        <v>0.001177848</v>
      </c>
      <c r="G38" s="45">
        <v>0.0</v>
      </c>
      <c r="H38" s="47">
        <v>0.0</v>
      </c>
      <c r="I38" s="48">
        <f t="shared" si="17"/>
        <v>0.001108333333</v>
      </c>
      <c r="J38" s="45">
        <v>0.2799</v>
      </c>
      <c r="K38" s="47">
        <v>0.041358</v>
      </c>
      <c r="L38" s="49">
        <f t="shared" si="18"/>
        <v>0.0016501842</v>
      </c>
    </row>
    <row r="39">
      <c r="A39" s="19"/>
      <c r="B39" s="43"/>
      <c r="C39" s="27">
        <v>48.0</v>
      </c>
      <c r="D39" s="79"/>
      <c r="E39" s="47" t="s">
        <v>47</v>
      </c>
      <c r="F39" s="80"/>
      <c r="G39" s="79"/>
      <c r="H39" s="47" t="s">
        <v>47</v>
      </c>
      <c r="I39" s="80"/>
      <c r="J39" s="79"/>
      <c r="K39" s="47" t="s">
        <v>47</v>
      </c>
      <c r="L39" s="80"/>
    </row>
    <row r="40">
      <c r="A40" s="19"/>
      <c r="B40" s="62"/>
      <c r="C40" s="27">
        <v>60.0</v>
      </c>
      <c r="D40" s="66"/>
      <c r="E40" s="64" t="s">
        <v>47</v>
      </c>
      <c r="F40" s="81"/>
      <c r="G40" s="66"/>
      <c r="H40" s="64" t="s">
        <v>47</v>
      </c>
      <c r="I40" s="81"/>
      <c r="J40" s="66"/>
      <c r="K40" s="64" t="s">
        <v>47</v>
      </c>
      <c r="L40" s="67"/>
    </row>
  </sheetData>
  <mergeCells count="16">
    <mergeCell ref="G13:I13"/>
    <mergeCell ref="J13:L13"/>
    <mergeCell ref="B24:B30"/>
    <mergeCell ref="B34:B40"/>
    <mergeCell ref="G33:I33"/>
    <mergeCell ref="D33:F33"/>
    <mergeCell ref="G23:I23"/>
    <mergeCell ref="J23:L23"/>
    <mergeCell ref="J33:L33"/>
    <mergeCell ref="D3:F3"/>
    <mergeCell ref="G3:I3"/>
    <mergeCell ref="J3:L3"/>
    <mergeCell ref="B4:B10"/>
    <mergeCell ref="D13:F13"/>
    <mergeCell ref="D23:F23"/>
    <mergeCell ref="B14:B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"/>
      <c r="C4" s="5" t="s">
        <v>3</v>
      </c>
      <c r="D4" s="7"/>
      <c r="E4" s="9"/>
      <c r="F4" s="5" t="s">
        <v>12</v>
      </c>
      <c r="G4" s="7"/>
      <c r="H4" s="9"/>
      <c r="I4" s="5" t="s">
        <v>17</v>
      </c>
      <c r="J4" s="7"/>
      <c r="K4" s="9"/>
    </row>
    <row r="5">
      <c r="B5" s="15" t="s">
        <v>20</v>
      </c>
      <c r="C5" s="18" t="s">
        <v>24</v>
      </c>
      <c r="D5" s="20" t="s">
        <v>26</v>
      </c>
      <c r="E5" s="23" t="s">
        <v>29</v>
      </c>
      <c r="F5" s="24" t="s">
        <v>24</v>
      </c>
      <c r="G5" s="20" t="s">
        <v>26</v>
      </c>
      <c r="H5" s="23" t="s">
        <v>29</v>
      </c>
      <c r="I5" s="24" t="s">
        <v>24</v>
      </c>
      <c r="J5" s="20" t="s">
        <v>26</v>
      </c>
      <c r="K5" s="23" t="s">
        <v>29</v>
      </c>
    </row>
    <row r="6">
      <c r="B6" s="30">
        <v>0.15</v>
      </c>
      <c r="C6" s="32">
        <v>0.03</v>
      </c>
      <c r="D6" s="33">
        <v>0.0225</v>
      </c>
      <c r="E6" s="39">
        <f t="shared" ref="E6:E10" si="1">D6+C6</f>
        <v>0.0525</v>
      </c>
      <c r="F6" s="32">
        <v>0.03</v>
      </c>
      <c r="G6" s="33">
        <v>0.0325</v>
      </c>
      <c r="H6" s="39">
        <f t="shared" ref="H6:H10" si="2">G6+F6</f>
        <v>0.0625</v>
      </c>
      <c r="I6" s="32">
        <v>0.03</v>
      </c>
      <c r="J6" s="33">
        <v>0.035</v>
      </c>
      <c r="K6" s="39">
        <f t="shared" ref="K6:K10" si="3">J6+I6</f>
        <v>0.065</v>
      </c>
    </row>
    <row r="7">
      <c r="B7" s="41">
        <v>0.25</v>
      </c>
      <c r="C7" s="42">
        <v>0.04</v>
      </c>
      <c r="D7" s="44">
        <v>0.045</v>
      </c>
      <c r="E7" s="39">
        <f t="shared" si="1"/>
        <v>0.085</v>
      </c>
      <c r="F7" s="42">
        <v>0.04</v>
      </c>
      <c r="G7" s="44">
        <v>0.065</v>
      </c>
      <c r="H7" s="39">
        <f t="shared" si="2"/>
        <v>0.105</v>
      </c>
      <c r="I7" s="42">
        <v>0.04</v>
      </c>
      <c r="J7" s="44">
        <v>0.07</v>
      </c>
      <c r="K7" s="39">
        <f t="shared" si="3"/>
        <v>0.11</v>
      </c>
    </row>
    <row r="8">
      <c r="B8" s="41">
        <v>0.35</v>
      </c>
      <c r="C8" s="42">
        <v>0.04</v>
      </c>
      <c r="D8" s="44">
        <v>0.045</v>
      </c>
      <c r="E8" s="39">
        <f t="shared" si="1"/>
        <v>0.085</v>
      </c>
      <c r="F8" s="42">
        <v>0.04</v>
      </c>
      <c r="G8" s="44">
        <v>0.075</v>
      </c>
      <c r="H8" s="39">
        <f t="shared" si="2"/>
        <v>0.115</v>
      </c>
      <c r="I8" s="42">
        <v>0.04</v>
      </c>
      <c r="J8" s="44">
        <v>0.08</v>
      </c>
      <c r="K8" s="39">
        <f t="shared" si="3"/>
        <v>0.12</v>
      </c>
    </row>
    <row r="9">
      <c r="B9" s="41">
        <v>0.5</v>
      </c>
      <c r="C9" s="42">
        <v>0.04</v>
      </c>
      <c r="D9" s="44">
        <v>0.065</v>
      </c>
      <c r="E9" s="39">
        <f t="shared" si="1"/>
        <v>0.105</v>
      </c>
      <c r="F9" s="42">
        <v>0.04</v>
      </c>
      <c r="G9" s="44">
        <v>0.085</v>
      </c>
      <c r="H9" s="39">
        <f t="shared" si="2"/>
        <v>0.125</v>
      </c>
      <c r="I9" s="42">
        <v>0.04</v>
      </c>
      <c r="J9" s="44">
        <v>0.095</v>
      </c>
      <c r="K9" s="39">
        <f t="shared" si="3"/>
        <v>0.135</v>
      </c>
    </row>
    <row r="10">
      <c r="B10" s="54">
        <v>1.0</v>
      </c>
      <c r="C10" s="55">
        <v>0.04</v>
      </c>
      <c r="D10" s="56">
        <v>0.08</v>
      </c>
      <c r="E10" s="57">
        <f t="shared" si="1"/>
        <v>0.12</v>
      </c>
      <c r="F10" s="55">
        <v>0.04</v>
      </c>
      <c r="G10" s="56">
        <v>0.1</v>
      </c>
      <c r="H10" s="57">
        <f t="shared" si="2"/>
        <v>0.14</v>
      </c>
      <c r="I10" s="55">
        <v>0.04</v>
      </c>
      <c r="J10" s="56">
        <v>0.11</v>
      </c>
      <c r="K10" s="57">
        <f t="shared" si="3"/>
        <v>0.15</v>
      </c>
    </row>
  </sheetData>
  <mergeCells count="3">
    <mergeCell ref="C4:E4"/>
    <mergeCell ref="F4:H4"/>
    <mergeCell ref="I4:K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7.75"/>
    <col customWidth="1" min="5" max="5" width="18.13"/>
  </cols>
  <sheetData>
    <row r="3">
      <c r="E3" s="2" t="s">
        <v>0</v>
      </c>
      <c r="F3" s="2" t="s">
        <v>4</v>
      </c>
    </row>
    <row r="4">
      <c r="B4" s="4" t="s">
        <v>5</v>
      </c>
      <c r="C4" s="4" t="s">
        <v>6</v>
      </c>
      <c r="D4" s="4" t="s">
        <v>7</v>
      </c>
      <c r="E4" s="4" t="s">
        <v>8</v>
      </c>
      <c r="F4" s="6" t="s">
        <v>9</v>
      </c>
      <c r="G4" s="8"/>
      <c r="H4" s="4" t="s">
        <v>11</v>
      </c>
    </row>
    <row r="5">
      <c r="B5" s="11" t="s">
        <v>13</v>
      </c>
      <c r="C5" s="13">
        <v>10000.0</v>
      </c>
      <c r="D5" s="14"/>
      <c r="E5" s="16">
        <v>9208.2</v>
      </c>
      <c r="F5" s="16">
        <v>10681.51</v>
      </c>
      <c r="G5" s="19"/>
      <c r="H5" s="25">
        <v>700.0</v>
      </c>
    </row>
    <row r="6">
      <c r="B6" s="11" t="s">
        <v>35</v>
      </c>
      <c r="C6" s="13">
        <v>15000.0</v>
      </c>
      <c r="D6" s="14"/>
      <c r="E6" s="16">
        <v>12301.2</v>
      </c>
      <c r="F6" s="16">
        <v>14269.39</v>
      </c>
      <c r="G6" s="19"/>
      <c r="H6" s="25">
        <v>805.0</v>
      </c>
    </row>
    <row r="7">
      <c r="B7" s="11" t="s">
        <v>37</v>
      </c>
      <c r="C7" s="13">
        <v>20000.0</v>
      </c>
      <c r="D7" s="14"/>
      <c r="E7" s="16">
        <v>14337.6</v>
      </c>
      <c r="F7" s="16">
        <v>16631.62</v>
      </c>
      <c r="G7" s="19"/>
      <c r="H7" s="25">
        <v>945.0</v>
      </c>
    </row>
    <row r="8">
      <c r="B8" s="11" t="s">
        <v>41</v>
      </c>
      <c r="C8" s="13">
        <v>25000.0</v>
      </c>
      <c r="D8" s="14"/>
      <c r="E8" s="16">
        <v>16523.78</v>
      </c>
      <c r="F8" s="16">
        <v>19167.58</v>
      </c>
      <c r="G8" s="19"/>
      <c r="H8" s="25">
        <v>1040.0</v>
      </c>
    </row>
    <row r="9">
      <c r="B9" s="34" t="s">
        <v>43</v>
      </c>
      <c r="C9" s="35">
        <v>30000.0</v>
      </c>
      <c r="D9" s="36">
        <v>45999.0</v>
      </c>
      <c r="E9" s="37">
        <v>18899.1</v>
      </c>
      <c r="F9" s="37">
        <v>21922.96</v>
      </c>
      <c r="G9" s="37">
        <v>-24076.04</v>
      </c>
      <c r="H9" s="36">
        <v>1170.0</v>
      </c>
    </row>
    <row r="10">
      <c r="B10" s="11" t="s">
        <v>44</v>
      </c>
      <c r="C10" s="13">
        <v>35000.0</v>
      </c>
      <c r="D10" s="40">
        <v>52999.0</v>
      </c>
      <c r="E10" s="16">
        <v>20676.43</v>
      </c>
      <c r="F10" s="16">
        <v>23984.66</v>
      </c>
      <c r="G10" s="16">
        <v>-29014.34</v>
      </c>
      <c r="H10" s="25">
        <v>1495.0</v>
      </c>
    </row>
    <row r="11">
      <c r="B11" s="11" t="s">
        <v>44</v>
      </c>
      <c r="C11" s="13">
        <v>40000.0</v>
      </c>
      <c r="D11" s="40">
        <v>59999.0</v>
      </c>
      <c r="E11" s="16">
        <v>23630.2</v>
      </c>
      <c r="F11" s="16">
        <v>27411.03</v>
      </c>
      <c r="G11" s="16">
        <v>-32587.97</v>
      </c>
      <c r="H11" s="25">
        <v>1630.0</v>
      </c>
    </row>
    <row r="12">
      <c r="B12" s="11" t="s">
        <v>45</v>
      </c>
      <c r="C12" s="13">
        <v>45000.0</v>
      </c>
      <c r="D12" s="46"/>
      <c r="E12" s="16">
        <v>26583.98</v>
      </c>
      <c r="F12" s="16">
        <v>30837.42</v>
      </c>
      <c r="G12" s="19"/>
      <c r="H12" s="25">
        <v>1775.0</v>
      </c>
    </row>
    <row r="13">
      <c r="B13" s="11" t="s">
        <v>45</v>
      </c>
      <c r="C13" s="13">
        <v>50000.0</v>
      </c>
      <c r="D13" s="40">
        <v>74999.0</v>
      </c>
      <c r="E13" s="16">
        <v>25622.0</v>
      </c>
      <c r="F13" s="16">
        <v>29721.52</v>
      </c>
      <c r="G13" s="16">
        <v>-45277.48</v>
      </c>
      <c r="H13" s="25">
        <v>1775.0</v>
      </c>
    </row>
    <row r="14">
      <c r="B14" s="11" t="s">
        <v>45</v>
      </c>
      <c r="C14" s="13">
        <v>55000.0</v>
      </c>
      <c r="D14" s="46"/>
      <c r="E14" s="16">
        <v>28184.2</v>
      </c>
      <c r="F14" s="16">
        <v>32693.67</v>
      </c>
      <c r="G14" s="16">
        <v>32693.67</v>
      </c>
      <c r="H14" s="25">
        <v>1860.0</v>
      </c>
    </row>
    <row r="15">
      <c r="B15" s="50" t="s">
        <v>45</v>
      </c>
      <c r="C15" s="51">
        <v>60000.0</v>
      </c>
      <c r="D15" s="52">
        <v>80999.0</v>
      </c>
      <c r="E15" s="53">
        <v>30746.4</v>
      </c>
      <c r="F15" s="53">
        <v>35665.82</v>
      </c>
      <c r="G15" s="53">
        <v>-45333.18</v>
      </c>
      <c r="H15" s="52">
        <v>1860.0</v>
      </c>
    </row>
    <row r="16">
      <c r="B16" s="11" t="s">
        <v>46</v>
      </c>
      <c r="C16" s="13">
        <v>65000.0</v>
      </c>
      <c r="D16" s="46"/>
      <c r="E16" s="16">
        <v>33308.6</v>
      </c>
      <c r="F16" s="16">
        <v>38637.98</v>
      </c>
      <c r="G16" s="19"/>
      <c r="H16" s="25">
        <v>2060.0</v>
      </c>
    </row>
    <row r="17">
      <c r="B17" s="11" t="s">
        <v>46</v>
      </c>
      <c r="C17" s="13">
        <v>70000.0</v>
      </c>
      <c r="D17" s="40">
        <v>91999.0</v>
      </c>
      <c r="E17" s="16">
        <v>31032.75</v>
      </c>
      <c r="F17" s="16">
        <v>35997.99</v>
      </c>
      <c r="G17" s="16">
        <v>-56001.01</v>
      </c>
      <c r="H17" s="25">
        <v>2060.0</v>
      </c>
    </row>
    <row r="18">
      <c r="B18" s="11" t="s">
        <v>46</v>
      </c>
      <c r="C18" s="13">
        <v>75000.0</v>
      </c>
      <c r="D18" s="46"/>
      <c r="E18" s="16">
        <v>33249.38</v>
      </c>
      <c r="F18" s="16">
        <v>38569.28</v>
      </c>
      <c r="G18" s="19"/>
      <c r="H18" s="25">
        <v>2295.0</v>
      </c>
    </row>
    <row r="19">
      <c r="B19" s="11" t="s">
        <v>46</v>
      </c>
      <c r="C19" s="13">
        <v>80000.0</v>
      </c>
      <c r="D19" s="40">
        <v>102999.0</v>
      </c>
      <c r="E19" s="16">
        <v>35466.0</v>
      </c>
      <c r="F19" s="16">
        <v>41140.56</v>
      </c>
      <c r="G19" s="16">
        <v>-61858.44</v>
      </c>
      <c r="H19" s="25">
        <v>2295.0</v>
      </c>
    </row>
    <row r="20">
      <c r="B20" s="11" t="s">
        <v>46</v>
      </c>
      <c r="C20" s="13">
        <v>85000.0</v>
      </c>
      <c r="D20" s="46"/>
      <c r="E20" s="16">
        <v>37682.63</v>
      </c>
      <c r="F20" s="16">
        <v>43711.85</v>
      </c>
      <c r="G20" s="19"/>
      <c r="H20" s="25">
        <v>2515.0</v>
      </c>
    </row>
    <row r="21">
      <c r="B21" s="58" t="s">
        <v>46</v>
      </c>
      <c r="C21" s="59">
        <v>90000.0</v>
      </c>
      <c r="D21" s="60">
        <v>125999.0</v>
      </c>
      <c r="E21" s="61">
        <v>39899.25</v>
      </c>
      <c r="F21" s="61">
        <v>46283.13</v>
      </c>
      <c r="G21" s="61">
        <v>-79715.87</v>
      </c>
      <c r="H21" s="60">
        <v>2515.0</v>
      </c>
    </row>
    <row r="22">
      <c r="B22" s="11" t="s">
        <v>46</v>
      </c>
      <c r="C22" s="13">
        <v>95000.0</v>
      </c>
      <c r="D22" s="46"/>
      <c r="E22" s="16">
        <v>42115.88</v>
      </c>
      <c r="F22" s="16">
        <v>48854.42</v>
      </c>
      <c r="G22" s="19"/>
      <c r="H22" s="25">
        <v>2770.0</v>
      </c>
    </row>
    <row r="23">
      <c r="B23" s="11" t="s">
        <v>46</v>
      </c>
      <c r="C23" s="13">
        <v>100000.0</v>
      </c>
      <c r="D23" s="40">
        <v>130999.0</v>
      </c>
      <c r="E23" s="16">
        <v>44332.5</v>
      </c>
      <c r="F23" s="16">
        <v>51425.7</v>
      </c>
      <c r="G23" s="16">
        <v>-79573.3</v>
      </c>
      <c r="H23" s="25">
        <v>2770.0</v>
      </c>
    </row>
    <row r="24">
      <c r="B24" s="11" t="s">
        <v>46</v>
      </c>
      <c r="C24" s="13">
        <v>110000.0</v>
      </c>
      <c r="D24" s="46"/>
      <c r="E24" s="16">
        <v>48765.75</v>
      </c>
      <c r="F24" s="16">
        <v>56568.27</v>
      </c>
      <c r="G24" s="19"/>
      <c r="H24" s="25">
        <v>2970.0</v>
      </c>
    </row>
    <row r="25">
      <c r="B25" s="11" t="s">
        <v>46</v>
      </c>
      <c r="C25" s="13">
        <v>120000.0</v>
      </c>
      <c r="D25" s="40">
        <v>144999.0</v>
      </c>
      <c r="E25" s="16">
        <v>53199.0</v>
      </c>
      <c r="F25" s="16">
        <v>61710.84</v>
      </c>
      <c r="G25" s="16">
        <v>-83288.16</v>
      </c>
      <c r="H25" s="25">
        <v>3215.0</v>
      </c>
    </row>
    <row r="26">
      <c r="B26" s="11" t="s">
        <v>46</v>
      </c>
      <c r="C26" s="13">
        <v>130000.0</v>
      </c>
      <c r="D26" s="46"/>
      <c r="E26" s="16">
        <v>57632.25</v>
      </c>
      <c r="F26" s="16">
        <v>66853.41</v>
      </c>
      <c r="G26" s="19"/>
      <c r="H26" s="25">
        <v>3455.0</v>
      </c>
    </row>
    <row r="27">
      <c r="B27" s="11" t="s">
        <v>46</v>
      </c>
      <c r="C27" s="13">
        <v>140000.0</v>
      </c>
      <c r="D27" s="14"/>
      <c r="E27" s="16">
        <v>62065.5</v>
      </c>
      <c r="F27" s="16">
        <v>71995.98</v>
      </c>
      <c r="G27" s="19"/>
      <c r="H27" s="25">
        <v>3695.0</v>
      </c>
    </row>
    <row r="28">
      <c r="B28" s="11" t="s">
        <v>46</v>
      </c>
      <c r="C28" s="13">
        <v>150000.0</v>
      </c>
      <c r="D28" s="14"/>
      <c r="E28" s="16">
        <v>66498.75</v>
      </c>
      <c r="F28" s="16">
        <v>77138.55</v>
      </c>
      <c r="G28" s="19"/>
      <c r="H28" s="25">
        <v>3925.0</v>
      </c>
    </row>
    <row r="29">
      <c r="B29" s="11" t="s">
        <v>46</v>
      </c>
      <c r="C29" s="13">
        <v>160000.0</v>
      </c>
      <c r="D29" s="14"/>
      <c r="E29" s="16">
        <v>70932.0</v>
      </c>
      <c r="F29" s="16">
        <v>82281.12</v>
      </c>
      <c r="G29" s="19"/>
      <c r="H29" s="25">
        <v>4160.0</v>
      </c>
    </row>
    <row r="30">
      <c r="B30" s="11" t="s">
        <v>46</v>
      </c>
      <c r="C30" s="13">
        <v>170000.0</v>
      </c>
      <c r="D30" s="14"/>
      <c r="E30" s="16">
        <v>75365.25</v>
      </c>
      <c r="F30" s="16">
        <v>87423.69</v>
      </c>
      <c r="G30" s="19"/>
      <c r="H30" s="25">
        <v>4385.0</v>
      </c>
    </row>
    <row r="31">
      <c r="B31" s="11" t="s">
        <v>46</v>
      </c>
      <c r="C31" s="13">
        <v>180000.0</v>
      </c>
      <c r="D31" s="14"/>
      <c r="E31" s="16">
        <v>79798.5</v>
      </c>
      <c r="F31" s="16">
        <v>92566.26</v>
      </c>
      <c r="G31" s="19"/>
      <c r="H31" s="25">
        <v>4620.0</v>
      </c>
    </row>
    <row r="32">
      <c r="B32" s="11" t="s">
        <v>46</v>
      </c>
      <c r="C32" s="13">
        <v>190000.0</v>
      </c>
      <c r="D32" s="14"/>
      <c r="E32" s="16">
        <v>84231.75</v>
      </c>
      <c r="F32" s="16">
        <v>97708.83</v>
      </c>
      <c r="G32" s="19"/>
      <c r="H32" s="25">
        <v>4870.0</v>
      </c>
    </row>
    <row r="33">
      <c r="B33" s="11" t="s">
        <v>46</v>
      </c>
      <c r="C33" s="13">
        <v>200000.0</v>
      </c>
      <c r="D33" s="14"/>
      <c r="E33" s="16">
        <v>88665.0</v>
      </c>
      <c r="F33" s="16">
        <v>102851.4</v>
      </c>
      <c r="G33" s="19"/>
      <c r="H33" s="25">
        <v>5135.0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72" t="s">
        <v>48</v>
      </c>
      <c r="C3" s="72" t="s">
        <v>49</v>
      </c>
      <c r="D3" s="72" t="s">
        <v>50</v>
      </c>
      <c r="E3" s="72" t="s">
        <v>51</v>
      </c>
      <c r="F3" s="73" t="s">
        <v>52</v>
      </c>
      <c r="G3" s="72" t="s">
        <v>53</v>
      </c>
      <c r="H3" s="74" t="s">
        <v>54</v>
      </c>
      <c r="I3" s="7"/>
      <c r="J3" s="9"/>
    </row>
    <row r="4">
      <c r="B4" s="75" t="s">
        <v>55</v>
      </c>
      <c r="C4" s="76"/>
      <c r="D4" s="76"/>
      <c r="E4" s="75" t="s">
        <v>56</v>
      </c>
      <c r="F4" s="76"/>
      <c r="G4" s="75" t="s">
        <v>57</v>
      </c>
      <c r="H4" s="75" t="s">
        <v>58</v>
      </c>
      <c r="I4" s="75" t="s">
        <v>59</v>
      </c>
      <c r="J4" s="76"/>
    </row>
    <row r="5">
      <c r="B5" s="75" t="s">
        <v>60</v>
      </c>
      <c r="C5" s="77">
        <v>1508.0</v>
      </c>
      <c r="D5" s="77">
        <v>1508.0</v>
      </c>
      <c r="E5" s="76"/>
      <c r="F5" s="76"/>
      <c r="G5" s="75" t="s">
        <v>61</v>
      </c>
      <c r="H5" s="75" t="s">
        <v>62</v>
      </c>
      <c r="I5" s="75" t="s">
        <v>63</v>
      </c>
      <c r="J5" s="76"/>
    </row>
    <row r="6">
      <c r="B6" s="75" t="s">
        <v>64</v>
      </c>
      <c r="C6" s="76"/>
      <c r="D6" s="75" t="s">
        <v>65</v>
      </c>
      <c r="E6" s="76"/>
      <c r="F6" s="76"/>
      <c r="G6" s="76"/>
      <c r="H6" s="76"/>
      <c r="I6" s="76"/>
      <c r="J6" s="76"/>
    </row>
    <row r="7">
      <c r="B7" s="75" t="s">
        <v>66</v>
      </c>
      <c r="C7" s="77">
        <v>4000.0</v>
      </c>
      <c r="D7" s="76"/>
      <c r="E7" s="76"/>
      <c r="F7" s="76"/>
      <c r="G7" s="76"/>
      <c r="H7" s="75" t="s">
        <v>67</v>
      </c>
      <c r="I7" s="76"/>
      <c r="J7" s="76"/>
    </row>
    <row r="8">
      <c r="B8" s="75" t="s">
        <v>68</v>
      </c>
      <c r="C8" s="76"/>
      <c r="D8" s="75" t="s">
        <v>65</v>
      </c>
      <c r="E8" s="76"/>
      <c r="F8" s="76"/>
      <c r="G8" s="76"/>
      <c r="H8" s="76"/>
      <c r="I8" s="76"/>
      <c r="J8" s="76"/>
    </row>
    <row r="9">
      <c r="B9" s="75" t="s">
        <v>69</v>
      </c>
      <c r="C9" s="76"/>
      <c r="D9" s="76"/>
      <c r="E9" s="75">
        <v>399.0</v>
      </c>
      <c r="F9" s="76"/>
      <c r="G9" s="75" t="s">
        <v>70</v>
      </c>
      <c r="H9" s="75" t="s">
        <v>71</v>
      </c>
      <c r="I9" s="75" t="s">
        <v>72</v>
      </c>
      <c r="J9" s="75" t="s">
        <v>73</v>
      </c>
    </row>
    <row r="10">
      <c r="B10" s="75" t="s">
        <v>74</v>
      </c>
      <c r="C10" s="76"/>
      <c r="D10" s="76"/>
      <c r="E10" s="76"/>
      <c r="F10" s="76"/>
      <c r="G10" s="76"/>
      <c r="H10" s="76"/>
      <c r="I10" s="76"/>
      <c r="J10" s="76"/>
    </row>
    <row r="11">
      <c r="B11" s="75" t="s">
        <v>75</v>
      </c>
      <c r="C11" s="75" t="s">
        <v>56</v>
      </c>
      <c r="D11" s="75" t="s">
        <v>56</v>
      </c>
      <c r="E11" s="76"/>
      <c r="F11" s="76"/>
      <c r="G11" s="75" t="s">
        <v>76</v>
      </c>
      <c r="H11" s="75" t="s">
        <v>77</v>
      </c>
      <c r="I11" s="75" t="s">
        <v>78</v>
      </c>
      <c r="J11" s="78" t="s">
        <v>79</v>
      </c>
    </row>
  </sheetData>
  <mergeCells count="1">
    <mergeCell ref="H3:J3"/>
  </mergeCells>
  <drawing r:id="rId1"/>
</worksheet>
</file>